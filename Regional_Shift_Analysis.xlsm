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hidePivotFieldList="1" defaultThemeVersion="166925"/>
  <mc:AlternateContent xmlns:mc="http://schemas.openxmlformats.org/markup-compatibility/2006">
    <mc:Choice Requires="x15">
      <x15ac:absPath xmlns:x15ac="http://schemas.microsoft.com/office/spreadsheetml/2010/11/ac" url="D:\Code Basics\"/>
    </mc:Choice>
  </mc:AlternateContent>
  <xr:revisionPtr revIDLastSave="0" documentId="13_ncr:1_{A29D3CAB-E926-42F6-ABA2-4D3285E1C68A}" xr6:coauthVersionLast="47" xr6:coauthVersionMax="47" xr10:uidLastSave="{00000000-0000-0000-0000-000000000000}"/>
  <bookViews>
    <workbookView xWindow="-108" yWindow="-108" windowWidth="23256" windowHeight="12456" activeTab="2" xr2:uid="{254331A4-027D-4933-80A0-6DAEA2455E26}"/>
  </bookViews>
  <sheets>
    <sheet name="constituency_master" sheetId="1" r:id="rId1"/>
    <sheet name="tn_2021_result" sheetId="3" r:id="rId2"/>
    <sheet name="tn_2026_result" sheetId="5" r:id="rId3"/>
    <sheet name="Question 1" sheetId="9" r:id="rId4"/>
    <sheet name="Charts" sheetId="10" r:id="rId5"/>
  </sheets>
  <externalReferences>
    <externalReference r:id="rId6"/>
  </externalReferences>
  <definedNames>
    <definedName name="_xlnm._FilterDatabase" localSheetId="0" hidden="1">constituency_master!$A$1:$H$235</definedName>
    <definedName name="_xlnm._FilterDatabase" localSheetId="1" hidden="1">tn_2021_result!$A$1:$H$234</definedName>
    <definedName name="_xlnm._FilterDatabase" localSheetId="2" hidden="1">tn_2026_result!$A$1:$H$234</definedName>
  </definedNames>
  <calcPr calcId="191029"/>
  <pivotCaches>
    <pivotCache cacheId="2"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1" l="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 i="1"/>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 i="1"/>
  <c r="F84" i="5"/>
  <c r="F23" i="5"/>
  <c r="F206" i="5"/>
  <c r="F153" i="5"/>
  <c r="F180" i="5"/>
  <c r="F75" i="5"/>
  <c r="F15" i="5"/>
  <c r="F233" i="5"/>
  <c r="F213" i="5"/>
  <c r="F76" i="5"/>
  <c r="F55" i="5"/>
  <c r="F44" i="5"/>
  <c r="F27" i="5"/>
  <c r="F92" i="5"/>
  <c r="F134" i="5"/>
  <c r="F166" i="5"/>
  <c r="F220" i="5"/>
  <c r="F74" i="5"/>
  <c r="F48" i="5"/>
  <c r="F70" i="5"/>
  <c r="F125" i="5"/>
  <c r="F37" i="5"/>
  <c r="F52" i="5"/>
  <c r="F197" i="5"/>
  <c r="F78" i="5"/>
  <c r="F126" i="5"/>
  <c r="F109" i="5"/>
  <c r="F152" i="5"/>
  <c r="F64" i="5"/>
  <c r="F210" i="5"/>
  <c r="F4" i="5"/>
  <c r="F115" i="5"/>
  <c r="F114" i="5"/>
  <c r="F51" i="5"/>
  <c r="F224" i="5"/>
  <c r="F77" i="5"/>
  <c r="F208" i="5"/>
  <c r="F141" i="5"/>
  <c r="F142" i="5"/>
  <c r="F97" i="5"/>
  <c r="F215" i="5"/>
  <c r="F73" i="5"/>
  <c r="F147" i="5"/>
  <c r="F21" i="5"/>
  <c r="F214" i="5"/>
  <c r="F120" i="5"/>
  <c r="F25" i="5"/>
  <c r="F11" i="5"/>
  <c r="F16" i="5"/>
  <c r="F171" i="5"/>
  <c r="F143" i="5"/>
  <c r="F169" i="5"/>
  <c r="F5" i="5"/>
  <c r="F174" i="5"/>
  <c r="F167" i="5"/>
  <c r="F34" i="5"/>
  <c r="F195" i="5"/>
  <c r="F182" i="5"/>
  <c r="F196" i="5"/>
  <c r="F175" i="5"/>
  <c r="F57" i="5"/>
  <c r="F222" i="5"/>
  <c r="F32" i="5"/>
  <c r="F117" i="5"/>
  <c r="F203" i="5"/>
  <c r="F216" i="5"/>
  <c r="F140" i="5"/>
  <c r="F30" i="5"/>
  <c r="F205" i="5"/>
  <c r="F186" i="5"/>
  <c r="F161" i="5"/>
  <c r="F122" i="5"/>
  <c r="F40" i="5"/>
  <c r="F28" i="5"/>
  <c r="F190" i="5"/>
  <c r="F94" i="5"/>
  <c r="F204" i="5"/>
  <c r="F80" i="5"/>
  <c r="F219" i="5"/>
  <c r="F88" i="5"/>
  <c r="F89" i="5"/>
  <c r="F91" i="5"/>
  <c r="F90" i="5"/>
  <c r="F24" i="5"/>
  <c r="F18" i="5"/>
  <c r="F79" i="5"/>
  <c r="F93" i="5"/>
  <c r="F42" i="5"/>
  <c r="F211" i="5"/>
  <c r="F202" i="5"/>
  <c r="F228" i="5"/>
  <c r="F181" i="5"/>
  <c r="F6" i="5"/>
  <c r="F163" i="5"/>
  <c r="F3" i="5"/>
  <c r="F67" i="5"/>
  <c r="F124" i="5"/>
  <c r="F104" i="5"/>
  <c r="F199" i="5"/>
  <c r="F178" i="5"/>
  <c r="F13" i="5"/>
  <c r="F148" i="5"/>
  <c r="F59" i="5"/>
  <c r="F177" i="5"/>
  <c r="F96" i="5"/>
  <c r="F209" i="5"/>
  <c r="F61" i="5"/>
  <c r="F173" i="5"/>
  <c r="F155" i="5"/>
  <c r="F31" i="5"/>
  <c r="F116" i="5"/>
  <c r="F226" i="5"/>
  <c r="F128" i="5"/>
  <c r="F58" i="5"/>
  <c r="F232" i="5"/>
  <c r="F217" i="5"/>
  <c r="F176" i="5"/>
  <c r="F85" i="5"/>
  <c r="F129" i="5"/>
  <c r="F131" i="5"/>
  <c r="F154" i="5"/>
  <c r="F132" i="5"/>
  <c r="F170" i="5"/>
  <c r="F227" i="5"/>
  <c r="F95" i="5"/>
  <c r="F230" i="5"/>
  <c r="F164" i="5"/>
  <c r="F26" i="5"/>
  <c r="F146" i="5"/>
  <c r="F212" i="5"/>
  <c r="F101" i="5"/>
  <c r="F86" i="5"/>
  <c r="F112" i="5"/>
  <c r="F188" i="5"/>
  <c r="F162" i="5"/>
  <c r="F168" i="5"/>
  <c r="F139" i="5"/>
  <c r="F187" i="5"/>
  <c r="F145" i="5"/>
  <c r="F72" i="5"/>
  <c r="F8" i="5"/>
  <c r="F36" i="5"/>
  <c r="F194" i="5"/>
  <c r="F192" i="5"/>
  <c r="F191" i="5"/>
  <c r="F189" i="5"/>
  <c r="F193" i="5"/>
  <c r="F10" i="5"/>
  <c r="F127" i="5"/>
  <c r="F144" i="5"/>
  <c r="F157" i="5"/>
  <c r="F149" i="5"/>
  <c r="F172" i="5"/>
  <c r="F98" i="5"/>
  <c r="F138" i="5"/>
  <c r="F137" i="5"/>
  <c r="F54" i="5"/>
  <c r="F218" i="5"/>
  <c r="F14" i="5"/>
  <c r="F123" i="5"/>
  <c r="F165" i="5"/>
  <c r="F46" i="5"/>
  <c r="F65" i="5"/>
  <c r="F234" i="5"/>
  <c r="F118" i="5"/>
  <c r="F160" i="5"/>
  <c r="F41" i="5"/>
  <c r="F136" i="5"/>
  <c r="F185" i="5"/>
  <c r="F229" i="5"/>
  <c r="F103" i="5"/>
  <c r="F38" i="5"/>
  <c r="F81" i="5"/>
  <c r="F66" i="5"/>
  <c r="F221" i="5"/>
  <c r="F50" i="5"/>
  <c r="F151" i="5"/>
  <c r="F56" i="5"/>
  <c r="F62" i="5"/>
  <c r="F19" i="5"/>
  <c r="F2" i="5"/>
  <c r="F47" i="5"/>
  <c r="F110" i="5"/>
  <c r="F107" i="5"/>
  <c r="F71" i="5"/>
  <c r="F82" i="5"/>
  <c r="F179" i="5"/>
  <c r="F100" i="5"/>
  <c r="F99" i="5"/>
  <c r="F17" i="5"/>
  <c r="F87" i="5"/>
  <c r="F12" i="5"/>
  <c r="F133" i="5"/>
  <c r="F60" i="5"/>
  <c r="F102" i="5"/>
  <c r="F201" i="5"/>
  <c r="F156" i="5"/>
  <c r="F111" i="5"/>
  <c r="F231" i="5"/>
  <c r="F121" i="5"/>
  <c r="F119" i="5"/>
  <c r="F159" i="5"/>
  <c r="F35" i="5"/>
  <c r="F69" i="5"/>
  <c r="F20" i="5"/>
  <c r="F63" i="5"/>
  <c r="F33" i="5"/>
  <c r="F200" i="5"/>
  <c r="F158" i="5"/>
  <c r="F108" i="5"/>
  <c r="F105" i="5"/>
  <c r="F53" i="5"/>
  <c r="F113" i="5"/>
  <c r="F7" i="5"/>
  <c r="F83" i="5"/>
  <c r="F130" i="5"/>
  <c r="F207" i="5"/>
  <c r="F150" i="5"/>
  <c r="F43" i="5"/>
  <c r="F135" i="5"/>
  <c r="F184" i="5"/>
  <c r="F68" i="5"/>
  <c r="F39" i="5"/>
  <c r="F106" i="5"/>
  <c r="F22" i="5"/>
  <c r="F198" i="5"/>
  <c r="F45" i="5"/>
  <c r="F49" i="5"/>
  <c r="F9" i="5"/>
  <c r="F225" i="5"/>
  <c r="F223" i="5"/>
  <c r="F183" i="5"/>
  <c r="F29" i="5"/>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 i="1"/>
</calcChain>
</file>

<file path=xl/sharedStrings.xml><?xml version="1.0" encoding="utf-8"?>
<sst xmlns="http://schemas.openxmlformats.org/spreadsheetml/2006/main" count="3327" uniqueCount="740">
  <si>
    <t>ac_number</t>
  </si>
  <si>
    <t>constituency</t>
  </si>
  <si>
    <t>district</t>
  </si>
  <si>
    <t>region</t>
  </si>
  <si>
    <t>reserved</t>
  </si>
  <si>
    <t>Gummidipundi</t>
  </si>
  <si>
    <t>Tiruvallur</t>
  </si>
  <si>
    <t>Chennai Metro</t>
  </si>
  <si>
    <t>GEN</t>
  </si>
  <si>
    <t>Ponneri</t>
  </si>
  <si>
    <t>SC</t>
  </si>
  <si>
    <t>Tiruttani</t>
  </si>
  <si>
    <t>Thiruvallur</t>
  </si>
  <si>
    <t>Poonamallee</t>
  </si>
  <si>
    <t>Avadi</t>
  </si>
  <si>
    <t>Maduravoyal</t>
  </si>
  <si>
    <t>Ambattur</t>
  </si>
  <si>
    <t>Madavaram</t>
  </si>
  <si>
    <t>Thiruvottiyur</t>
  </si>
  <si>
    <t>Dr. Radhakrishnan Nagar</t>
  </si>
  <si>
    <t>Chennai</t>
  </si>
  <si>
    <t>Perambur</t>
  </si>
  <si>
    <t>Kolathur</t>
  </si>
  <si>
    <t>Villivakkam</t>
  </si>
  <si>
    <t>Thiru-Vi-Ka-Nagar</t>
  </si>
  <si>
    <t>Egmore</t>
  </si>
  <si>
    <t>Royapuram</t>
  </si>
  <si>
    <t>Harbour</t>
  </si>
  <si>
    <t>Chepauk-Thiruvallikeni</t>
  </si>
  <si>
    <t>Thousand Lights</t>
  </si>
  <si>
    <t>Anna Nagar</t>
  </si>
  <si>
    <t>Virugampakkam</t>
  </si>
  <si>
    <t>Saidapet</t>
  </si>
  <si>
    <t>Theayagaraya Nagar</t>
  </si>
  <si>
    <t>Mylapore</t>
  </si>
  <si>
    <t>Velachery</t>
  </si>
  <si>
    <t>Shozhinganallur</t>
  </si>
  <si>
    <t>Kanchipuram</t>
  </si>
  <si>
    <t>Alandur</t>
  </si>
  <si>
    <t>Sriperumbudur</t>
  </si>
  <si>
    <t>Pallavaram</t>
  </si>
  <si>
    <t>Tambaram</t>
  </si>
  <si>
    <t>Chengalpattu</t>
  </si>
  <si>
    <t>Thiruporur</t>
  </si>
  <si>
    <t>North</t>
  </si>
  <si>
    <t>Cheyyur</t>
  </si>
  <si>
    <t>Maduranthakam</t>
  </si>
  <si>
    <t>Uthiramerur</t>
  </si>
  <si>
    <t>Kancheepuram</t>
  </si>
  <si>
    <t>Arakonam</t>
  </si>
  <si>
    <t>Vellore</t>
  </si>
  <si>
    <t>Sholinghur</t>
  </si>
  <si>
    <t>Katpadi</t>
  </si>
  <si>
    <t>Ranipet</t>
  </si>
  <si>
    <t>Arcot</t>
  </si>
  <si>
    <t>Anaikattu</t>
  </si>
  <si>
    <t>Kilvaithinankuppam</t>
  </si>
  <si>
    <t>Gudiyatham</t>
  </si>
  <si>
    <t>Vaniayambadi</t>
  </si>
  <si>
    <t>Ambur</t>
  </si>
  <si>
    <t>Jolarpet</t>
  </si>
  <si>
    <t>Tiruppattur</t>
  </si>
  <si>
    <t>Uthangarai</t>
  </si>
  <si>
    <t>Krishnagiri</t>
  </si>
  <si>
    <t>Bargur</t>
  </si>
  <si>
    <t>Veppanahalli</t>
  </si>
  <si>
    <t>Hosur</t>
  </si>
  <si>
    <t>Thalli</t>
  </si>
  <si>
    <t>Palacode</t>
  </si>
  <si>
    <t>Dharmapuri</t>
  </si>
  <si>
    <t>Pennagaram</t>
  </si>
  <si>
    <t>Pappireddippatti</t>
  </si>
  <si>
    <t>Harur</t>
  </si>
  <si>
    <t>Chengam</t>
  </si>
  <si>
    <t>Tiruvannamalai</t>
  </si>
  <si>
    <t>Kilpennathur</t>
  </si>
  <si>
    <t>Kalasapakkam</t>
  </si>
  <si>
    <t>Polur</t>
  </si>
  <si>
    <t>Arani</t>
  </si>
  <si>
    <t>Cheyyar</t>
  </si>
  <si>
    <t>Vandavasi</t>
  </si>
  <si>
    <t>Gingee</t>
  </si>
  <si>
    <t>Villupuram</t>
  </si>
  <si>
    <t>Central</t>
  </si>
  <si>
    <t>Mailam</t>
  </si>
  <si>
    <t>Tindivanam</t>
  </si>
  <si>
    <t>Vanur</t>
  </si>
  <si>
    <t>Vikravandi</t>
  </si>
  <si>
    <t>Tirukkoyilur</t>
  </si>
  <si>
    <t>Ulundurpet</t>
  </si>
  <si>
    <t>Rishivandiam</t>
  </si>
  <si>
    <t>Sankarapuram</t>
  </si>
  <si>
    <t>Kallakurichi</t>
  </si>
  <si>
    <t>Gangavalli</t>
  </si>
  <si>
    <t>Salem</t>
  </si>
  <si>
    <t>Attur</t>
  </si>
  <si>
    <t>Yercaud</t>
  </si>
  <si>
    <t>ST</t>
  </si>
  <si>
    <t>Omalur</t>
  </si>
  <si>
    <t>Mettur</t>
  </si>
  <si>
    <t>Edapadi</t>
  </si>
  <si>
    <t>Sankari</t>
  </si>
  <si>
    <t>Salem (West)</t>
  </si>
  <si>
    <t>Salem (North)</t>
  </si>
  <si>
    <t>Salem (South)</t>
  </si>
  <si>
    <t>Veerapandi</t>
  </si>
  <si>
    <t>Rasipuram</t>
  </si>
  <si>
    <t>Namakkal</t>
  </si>
  <si>
    <t>Sendamangalam</t>
  </si>
  <si>
    <t>Paramathi-Velur</t>
  </si>
  <si>
    <t>Tiruchengode</t>
  </si>
  <si>
    <t>Kumarapalayam</t>
  </si>
  <si>
    <t>Erode (East)</t>
  </si>
  <si>
    <t>Erode</t>
  </si>
  <si>
    <t>Kongu</t>
  </si>
  <si>
    <t>Erode (West)</t>
  </si>
  <si>
    <t>Modakurichi</t>
  </si>
  <si>
    <t>Dharapuram</t>
  </si>
  <si>
    <t>Kangayam</t>
  </si>
  <si>
    <t>Perundurai</t>
  </si>
  <si>
    <t>Bhavani</t>
  </si>
  <si>
    <t>Anthiyur</t>
  </si>
  <si>
    <t>Gobichettipalayam</t>
  </si>
  <si>
    <t>Tirupur</t>
  </si>
  <si>
    <t>Bhavanisagar</t>
  </si>
  <si>
    <t>Udhagamandalam</t>
  </si>
  <si>
    <t>Gudalur</t>
  </si>
  <si>
    <t>Coonoor</t>
  </si>
  <si>
    <t>Mettupalayam</t>
  </si>
  <si>
    <t>Avanashi</t>
  </si>
  <si>
    <t>Tiruppur (North)</t>
  </si>
  <si>
    <t>Tiruppur (South)</t>
  </si>
  <si>
    <t>Nilgiris</t>
  </si>
  <si>
    <t>Palladam</t>
  </si>
  <si>
    <t>Sulur</t>
  </si>
  <si>
    <t>Kavundampalayam</t>
  </si>
  <si>
    <t>Coimbatore</t>
  </si>
  <si>
    <t>Coimbatore North</t>
  </si>
  <si>
    <t>Thondamuthur</t>
  </si>
  <si>
    <t>Coimbatore South</t>
  </si>
  <si>
    <t>Singanallur</t>
  </si>
  <si>
    <t>Kinathukadavu</t>
  </si>
  <si>
    <t>Pollachi</t>
  </si>
  <si>
    <t>Valparai</t>
  </si>
  <si>
    <t>Udumalpet</t>
  </si>
  <si>
    <t>Madathukulam</t>
  </si>
  <si>
    <t>Palani</t>
  </si>
  <si>
    <t>Dindigul</t>
  </si>
  <si>
    <t>South</t>
  </si>
  <si>
    <t>Oddanchatram</t>
  </si>
  <si>
    <t>Athoor</t>
  </si>
  <si>
    <t>Nilakottai</t>
  </si>
  <si>
    <t>Natham</t>
  </si>
  <si>
    <t>Vedasandur</t>
  </si>
  <si>
    <t>Aravakurichi</t>
  </si>
  <si>
    <t>Karur</t>
  </si>
  <si>
    <t>Krishnarayapuram</t>
  </si>
  <si>
    <t>Kulithalai</t>
  </si>
  <si>
    <t>Manapparai</t>
  </si>
  <si>
    <t>Tiruchirappalli</t>
  </si>
  <si>
    <t>Delta</t>
  </si>
  <si>
    <t>Srirangam</t>
  </si>
  <si>
    <t>Tiruchirapalli (West)</t>
  </si>
  <si>
    <t>Tiruchirapalli (East)</t>
  </si>
  <si>
    <t>Thiruverambur</t>
  </si>
  <si>
    <t>Lalgudi</t>
  </si>
  <si>
    <t>Manachanallur</t>
  </si>
  <si>
    <t>Musiri</t>
  </si>
  <si>
    <t>Thuraiyur</t>
  </si>
  <si>
    <t>Perambalur</t>
  </si>
  <si>
    <t>Kunnam</t>
  </si>
  <si>
    <t>Ariyalur</t>
  </si>
  <si>
    <t>Jayankondam</t>
  </si>
  <si>
    <t>Tittakudi</t>
  </si>
  <si>
    <t>Cuddalore</t>
  </si>
  <si>
    <t>Vriddhachalam</t>
  </si>
  <si>
    <t>Neyveli</t>
  </si>
  <si>
    <t>Panruti</t>
  </si>
  <si>
    <t>Kurinjipadi</t>
  </si>
  <si>
    <t>Bhuvanagiri</t>
  </si>
  <si>
    <t>Chidambaram</t>
  </si>
  <si>
    <t>Kattumannarkoil</t>
  </si>
  <si>
    <t>Sirkali</t>
  </si>
  <si>
    <t>Nagapattinam</t>
  </si>
  <si>
    <t>Mayiladuthurai</t>
  </si>
  <si>
    <t>Poompuhar</t>
  </si>
  <si>
    <t>Kilvelur</t>
  </si>
  <si>
    <t>Vedaranyam</t>
  </si>
  <si>
    <t>Thiruthuraipundi</t>
  </si>
  <si>
    <t>Tiruvarur</t>
  </si>
  <si>
    <t>Mannargudi</t>
  </si>
  <si>
    <t>Thiruvarur</t>
  </si>
  <si>
    <t>Nannilam</t>
  </si>
  <si>
    <t>Thiruvidamarudur</t>
  </si>
  <si>
    <t>Thanjavur</t>
  </si>
  <si>
    <t>Kumbakonam</t>
  </si>
  <si>
    <t>Papanasam</t>
  </si>
  <si>
    <t>Thiruvaiyaru</t>
  </si>
  <si>
    <t>Orathanad</t>
  </si>
  <si>
    <t>Pattukkottai</t>
  </si>
  <si>
    <t>Peravurani</t>
  </si>
  <si>
    <t>Gandharvakottai</t>
  </si>
  <si>
    <t>Pudukkottai</t>
  </si>
  <si>
    <t>Viralimalai</t>
  </si>
  <si>
    <t>Thirumayam</t>
  </si>
  <si>
    <t>Alangudi</t>
  </si>
  <si>
    <t>Arantangi</t>
  </si>
  <si>
    <t>Karaikudi</t>
  </si>
  <si>
    <t>Sivaganga</t>
  </si>
  <si>
    <t>Manamadurai</t>
  </si>
  <si>
    <t>Melur</t>
  </si>
  <si>
    <t>Madurai</t>
  </si>
  <si>
    <t>Madurai East</t>
  </si>
  <si>
    <t>Sholavandan</t>
  </si>
  <si>
    <t>Madurai North</t>
  </si>
  <si>
    <t>Madurai South</t>
  </si>
  <si>
    <t>Madurai Central</t>
  </si>
  <si>
    <t>Madurai West</t>
  </si>
  <si>
    <t>Thiruparankundram</t>
  </si>
  <si>
    <t>Thirumangalam</t>
  </si>
  <si>
    <t>Usilampatti</t>
  </si>
  <si>
    <t>Andipatti</t>
  </si>
  <si>
    <t>Theni</t>
  </si>
  <si>
    <t>Periyakulam</t>
  </si>
  <si>
    <t>Bodinayakanur</t>
  </si>
  <si>
    <t>Cumbum</t>
  </si>
  <si>
    <t>Rajapalayam</t>
  </si>
  <si>
    <t>Virudhunagar</t>
  </si>
  <si>
    <t>Srivilliputhur</t>
  </si>
  <si>
    <t>Sattur</t>
  </si>
  <si>
    <t>Sivakasi</t>
  </si>
  <si>
    <t>Aruppukottai</t>
  </si>
  <si>
    <t>Tiruchuli</t>
  </si>
  <si>
    <t>Paramakudi</t>
  </si>
  <si>
    <t>Ramanathapuram</t>
  </si>
  <si>
    <t>Tiruvadanai</t>
  </si>
  <si>
    <t>Mudukulathur</t>
  </si>
  <si>
    <t>Vilathikulam</t>
  </si>
  <si>
    <t>Thoothukudi</t>
  </si>
  <si>
    <t>Thoothukkudi</t>
  </si>
  <si>
    <t>Tiruchendur</t>
  </si>
  <si>
    <t>Srivaikuntam</t>
  </si>
  <si>
    <t>Ottapidaram</t>
  </si>
  <si>
    <t>Kovilpatti</t>
  </si>
  <si>
    <t>Sankarankovil</t>
  </si>
  <si>
    <t>Tirunelveli</t>
  </si>
  <si>
    <t>Vasudevanallur</t>
  </si>
  <si>
    <t>Kadayanallur</t>
  </si>
  <si>
    <t>Tenkasi</t>
  </si>
  <si>
    <t>Alangulam</t>
  </si>
  <si>
    <t>Ambasamudram</t>
  </si>
  <si>
    <t>Palayamcottai</t>
  </si>
  <si>
    <t>Nanguneri</t>
  </si>
  <si>
    <t>Radhapuram</t>
  </si>
  <si>
    <t>Kanniyakumari</t>
  </si>
  <si>
    <t>Nagercoil</t>
  </si>
  <si>
    <t>Colachel</t>
  </si>
  <si>
    <t>Padmanabhapuram</t>
  </si>
  <si>
    <t>Vilavancode</t>
  </si>
  <si>
    <t>Killiyoor</t>
  </si>
  <si>
    <t>Winner_2021</t>
  </si>
  <si>
    <t>Winner_2026</t>
  </si>
  <si>
    <t>candidate</t>
  </si>
  <si>
    <t>party</t>
  </si>
  <si>
    <t>votes</t>
  </si>
  <si>
    <t>turnout</t>
  </si>
  <si>
    <t>GOVINDARAJAN T.J</t>
  </si>
  <si>
    <t>DMK</t>
  </si>
  <si>
    <t>PMK</t>
  </si>
  <si>
    <t>DMDK</t>
  </si>
  <si>
    <t>DURAI. CHANDRASEKAR</t>
  </si>
  <si>
    <t>INC</t>
  </si>
  <si>
    <t>AIADMK</t>
  </si>
  <si>
    <t>AMMK</t>
  </si>
  <si>
    <t>S.Chandran</t>
  </si>
  <si>
    <t>RAAJENDRAN, V.G.</t>
  </si>
  <si>
    <t>Krishnaswamy A</t>
  </si>
  <si>
    <t>Nasar S M</t>
  </si>
  <si>
    <t>GANAPATHY.K</t>
  </si>
  <si>
    <t>JOSEPH SAMUEL</t>
  </si>
  <si>
    <t>SUDHARSANAM. S</t>
  </si>
  <si>
    <t>RAMESH</t>
  </si>
  <si>
    <t>K.P.SHANKAR</t>
  </si>
  <si>
    <t>EBENEZER. J.J. (@)  JOHN EBENEZER.J</t>
  </si>
  <si>
    <t>SHEKAR. R.D</t>
  </si>
  <si>
    <t>RAJESH KUMAR. S</t>
  </si>
  <si>
    <t>M.K. STALIN</t>
  </si>
  <si>
    <t>A . Vetriazhagan</t>
  </si>
  <si>
    <t>SIVAKUMAR.P</t>
  </si>
  <si>
    <t>I.PARANTHAMEN</t>
  </si>
  <si>
    <t>MURTHY.R.IDREAM</t>
  </si>
  <si>
    <t>KAMALI.S</t>
  </si>
  <si>
    <t>SEKARBABU. P.K</t>
  </si>
  <si>
    <t>BJP</t>
  </si>
  <si>
    <t>UDHAYANIDHI STALIN</t>
  </si>
  <si>
    <t>EZHILAN N</t>
  </si>
  <si>
    <t>M.K. Mohan</t>
  </si>
  <si>
    <t>AMV.PRABHAKARA RAJA</t>
  </si>
  <si>
    <t>SUBRAMANIAN. MA</t>
  </si>
  <si>
    <t>KARUNANITHI J</t>
  </si>
  <si>
    <t>VELU.DHA</t>
  </si>
  <si>
    <t>JMH.AASSAN MAULAANA</t>
  </si>
  <si>
    <t>M.VIGNESH</t>
  </si>
  <si>
    <t>S.ARAVINDRAMESH</t>
  </si>
  <si>
    <t>T.M.Anbarasan</t>
  </si>
  <si>
    <t>SELVAPERUNTHAGAI</t>
  </si>
  <si>
    <t>VINOTH</t>
  </si>
  <si>
    <t>KARUNANITHI</t>
  </si>
  <si>
    <t>Raja.S.R</t>
  </si>
  <si>
    <t>VARALAKSHMI.M</t>
  </si>
  <si>
    <t>S.S.Balaji</t>
  </si>
  <si>
    <t>VCK</t>
  </si>
  <si>
    <t>Babu M</t>
  </si>
  <si>
    <t>Maragatham. K</t>
  </si>
  <si>
    <t>SUNDAR K</t>
  </si>
  <si>
    <t>C.V.M.P. Ezhailzrasan</t>
  </si>
  <si>
    <t>S.RAVI</t>
  </si>
  <si>
    <t>A.M.MUNIRATHINAM</t>
  </si>
  <si>
    <t>DURAIMURUGAN</t>
  </si>
  <si>
    <t>R.GANDHI</t>
  </si>
  <si>
    <t>J.L.Eswarappan</t>
  </si>
  <si>
    <t>Karthikeyan .P</t>
  </si>
  <si>
    <t>A.P.Nandakumar</t>
  </si>
  <si>
    <t>M.JAGAN MOORTHY</t>
  </si>
  <si>
    <t>Amulu.V</t>
  </si>
  <si>
    <t>G.SENDHIL KUMAR</t>
  </si>
  <si>
    <t>IUML</t>
  </si>
  <si>
    <t>VILWANATHAN.A.C</t>
  </si>
  <si>
    <t>DEVARAJI.K.</t>
  </si>
  <si>
    <t>T.M.TAMILSELVAM</t>
  </si>
  <si>
    <t>MATHIAZHAGAN D</t>
  </si>
  <si>
    <t>Ashokkumar.K</t>
  </si>
  <si>
    <t>K.P.Munusamy</t>
  </si>
  <si>
    <t>PRAKAASH Y</t>
  </si>
  <si>
    <t>RAMACHANDRAN.T</t>
  </si>
  <si>
    <t>CPI</t>
  </si>
  <si>
    <t>ANBALAGAN.K.P.</t>
  </si>
  <si>
    <t>MANI. G.K</t>
  </si>
  <si>
    <t>VENKATESHWARAN.S.P.</t>
  </si>
  <si>
    <t>GOVINDASAMY.A</t>
  </si>
  <si>
    <t>SAMPATHKUMAR.V</t>
  </si>
  <si>
    <t>CPI(M)</t>
  </si>
  <si>
    <t>GIRI.M.P</t>
  </si>
  <si>
    <t>E V VELU</t>
  </si>
  <si>
    <t>K.Pitchandi</t>
  </si>
  <si>
    <t>Saravanan.P.S.T</t>
  </si>
  <si>
    <t>Agri KRISHNAMURTHY. S S</t>
  </si>
  <si>
    <t>S.RAMACHANDRAN</t>
  </si>
  <si>
    <t>JOTHI. O</t>
  </si>
  <si>
    <t>Ambethkumar S</t>
  </si>
  <si>
    <t>MASTHAN K S</t>
  </si>
  <si>
    <t>SIVAKUMAR C</t>
  </si>
  <si>
    <t>ARJUNAN P</t>
  </si>
  <si>
    <t>CHAKRAPANI M</t>
  </si>
  <si>
    <t>VANNI ARASU</t>
  </si>
  <si>
    <t>LAKSHMANAN R</t>
  </si>
  <si>
    <t>PUGAZHENTHI N</t>
  </si>
  <si>
    <t>K.PONMUDY</t>
  </si>
  <si>
    <t>MANIKANNAN A J</t>
  </si>
  <si>
    <t>KARTHIKEYAN K</t>
  </si>
  <si>
    <t>UDHAYASURIYAN T</t>
  </si>
  <si>
    <t>Senthilkumar.M</t>
  </si>
  <si>
    <t>NALLATHAMBI,A.</t>
  </si>
  <si>
    <t>JAYASANKARAN, A.P.</t>
  </si>
  <si>
    <t>G. Chitra</t>
  </si>
  <si>
    <t>R.MANI</t>
  </si>
  <si>
    <t>SADHASIVAM.S</t>
  </si>
  <si>
    <t>EDAPPADI PALANISWAMI. K</t>
  </si>
  <si>
    <t>SUNDARARAJAN, S.</t>
  </si>
  <si>
    <t>ARUL. R</t>
  </si>
  <si>
    <t>R. RAJENDRAN</t>
  </si>
  <si>
    <t>E.BALASUBRAMANIAN</t>
  </si>
  <si>
    <t>RAJAMUTHU, M.</t>
  </si>
  <si>
    <t>MATHIVENTHAN M</t>
  </si>
  <si>
    <t>PONNUSAMY K</t>
  </si>
  <si>
    <t>RAMALINGAM P</t>
  </si>
  <si>
    <t>SEKAR S</t>
  </si>
  <si>
    <t>ESWARAN E R</t>
  </si>
  <si>
    <t>KARTHIKEYAN S</t>
  </si>
  <si>
    <t>THANGAMANI.P</t>
  </si>
  <si>
    <t>THIRUMAHAN EVERAA,E.</t>
  </si>
  <si>
    <t>Muthusamy S</t>
  </si>
  <si>
    <t>SARASWATHI.C</t>
  </si>
  <si>
    <t>KAYALVIZHI N</t>
  </si>
  <si>
    <t>SAMINATHAN.M.P</t>
  </si>
  <si>
    <t>JAYAKUMAR, S.</t>
  </si>
  <si>
    <t>KARUPPANAN.K.C</t>
  </si>
  <si>
    <t>VENKATACHALAM.A.G</t>
  </si>
  <si>
    <t>SENGOTTAIYAN K.A</t>
  </si>
  <si>
    <t>A.Bannari</t>
  </si>
  <si>
    <t>GANESH, R.</t>
  </si>
  <si>
    <t>PON.JAYASEELAN</t>
  </si>
  <si>
    <t>Ramachandran, K.</t>
  </si>
  <si>
    <t>SELVARAJ A K</t>
  </si>
  <si>
    <t>DHANAPAL, P</t>
  </si>
  <si>
    <t>VIJEYAKUMAR.K.N</t>
  </si>
  <si>
    <t>SELVARAJ. K.</t>
  </si>
  <si>
    <t>ANANDAN M S M</t>
  </si>
  <si>
    <t>KANDASAMY V.P.</t>
  </si>
  <si>
    <t>G.Arunkumar</t>
  </si>
  <si>
    <t>AMMAN K.ARJUNAN</t>
  </si>
  <si>
    <t>S.P. VELUMANI</t>
  </si>
  <si>
    <t>VANATHI SRINIVASAN</t>
  </si>
  <si>
    <t>Jayaram, K.R</t>
  </si>
  <si>
    <t>Damodaran.S</t>
  </si>
  <si>
    <t>Pollachi V. Jayaraman</t>
  </si>
  <si>
    <t>AMULKANDASAMI T K</t>
  </si>
  <si>
    <t>Radhakrishnan,K.</t>
  </si>
  <si>
    <t>C MAHENDRAN</t>
  </si>
  <si>
    <t>SENTHIL KUMAR I.P</t>
  </si>
  <si>
    <t>SAKKARAPANI R</t>
  </si>
  <si>
    <t>PERIYASAMY I</t>
  </si>
  <si>
    <t>S.Thenmozhi</t>
  </si>
  <si>
    <t>NATHAM.R.VISWANATHAN</t>
  </si>
  <si>
    <t>SREENIVASAN.C</t>
  </si>
  <si>
    <t>RAJENDRAN.R</t>
  </si>
  <si>
    <t>GANDHIRAJAN S</t>
  </si>
  <si>
    <t>ELANGO. R</t>
  </si>
  <si>
    <t>SENTHILBALAJI V</t>
  </si>
  <si>
    <t>SIVAGAMA SUNDARI.K</t>
  </si>
  <si>
    <t>R.Manickam</t>
  </si>
  <si>
    <t>ABDUL SAMAD P</t>
  </si>
  <si>
    <t>Palaniyandi.M</t>
  </si>
  <si>
    <t>Nehru, K.N.</t>
  </si>
  <si>
    <t>INIGO IRUDAYARAJ,S.</t>
  </si>
  <si>
    <t>ANBIL MAHESH POYYAMOZHI</t>
  </si>
  <si>
    <t>A.SOUNDARAPANDIAN</t>
  </si>
  <si>
    <t>S. KATHIRAVAN</t>
  </si>
  <si>
    <t>N. Thiyagarajan</t>
  </si>
  <si>
    <t>S.STALINKUMAR</t>
  </si>
  <si>
    <t>PRABHAHARAN, M.</t>
  </si>
  <si>
    <t>SIVASANKAR, S.S.</t>
  </si>
  <si>
    <t>CHINNAPPA K</t>
  </si>
  <si>
    <t>RAJENDRAN S</t>
  </si>
  <si>
    <t>KANNAN KA SO KA</t>
  </si>
  <si>
    <t>GANESAN,  C.V.</t>
  </si>
  <si>
    <t>Radhakrishnan</t>
  </si>
  <si>
    <t>SABA.RAJENDRAN</t>
  </si>
  <si>
    <t>VELMURUGAN.T</t>
  </si>
  <si>
    <t>G.IYAPPAN</t>
  </si>
  <si>
    <t>M.R.K.PANNEERSELVAM</t>
  </si>
  <si>
    <t>Arunmozhithevan. A</t>
  </si>
  <si>
    <t>K.A. PANDIAN</t>
  </si>
  <si>
    <t>SINTHANAI SELVAN</t>
  </si>
  <si>
    <t>PANNEERSELVAM</t>
  </si>
  <si>
    <t>Rajakumar.S</t>
  </si>
  <si>
    <t>Nivedha M. Murugan</t>
  </si>
  <si>
    <t>J. Mohamed Shanavas</t>
  </si>
  <si>
    <t>NAGAIMAALI V P</t>
  </si>
  <si>
    <t>O.S.MANIAN</t>
  </si>
  <si>
    <t>MARIMUTHU K</t>
  </si>
  <si>
    <t>RAJAA T R B</t>
  </si>
  <si>
    <t>KALAIVANAN  POONDI  K.</t>
  </si>
  <si>
    <t>KAMARAJ R</t>
  </si>
  <si>
    <t>CHEZHIAAN,  GOVI.</t>
  </si>
  <si>
    <t>ANBALAGAN, G.</t>
  </si>
  <si>
    <t>Dr.JAWAHIRULLAH, M.H.</t>
  </si>
  <si>
    <t>DURAI.CHANDRASEKARAN</t>
  </si>
  <si>
    <t>NEELAMEGAM, T.K.G.</t>
  </si>
  <si>
    <t>VAITHILINGAM, R.</t>
  </si>
  <si>
    <t>ANNADURAI, K.</t>
  </si>
  <si>
    <t>ASHOKKUMAR, N.</t>
  </si>
  <si>
    <t>M.Chinnadurai</t>
  </si>
  <si>
    <t>VIJAYA BASKER C</t>
  </si>
  <si>
    <t>V . MUTHURAJA</t>
  </si>
  <si>
    <t>S.REGUPATHY</t>
  </si>
  <si>
    <t>SIVA.V.MEYYANATHAN</t>
  </si>
  <si>
    <t>RAMACHANDRAN T</t>
  </si>
  <si>
    <t>S.Mangudi</t>
  </si>
  <si>
    <t>KR.PERIYAKARUPPAN</t>
  </si>
  <si>
    <t>PR. Senthilnathan</t>
  </si>
  <si>
    <t>Tamilarasi A.</t>
  </si>
  <si>
    <t>PERIYAPULLAN @ SELVAM  P.</t>
  </si>
  <si>
    <t>MOORTHY P</t>
  </si>
  <si>
    <t>VENKATESAN A</t>
  </si>
  <si>
    <t>THALAPATHI G</t>
  </si>
  <si>
    <t>BOOMINATHAN.M</t>
  </si>
  <si>
    <t>PALANIVEL THIAGA RAJAN</t>
  </si>
  <si>
    <t>RAJU. K</t>
  </si>
  <si>
    <t>RAJANCHELLAPPA, V.V.</t>
  </si>
  <si>
    <t>UDHAYAKUMAR R B</t>
  </si>
  <si>
    <t>AYYAPPAN P</t>
  </si>
  <si>
    <t>A.MAHARAJAN</t>
  </si>
  <si>
    <t>K.S.SARAVANAKUMAAR</t>
  </si>
  <si>
    <t>O.PANNEERSELVAM</t>
  </si>
  <si>
    <t>N.Ramakrishnan</t>
  </si>
  <si>
    <t>THANGAPANDIAN S.</t>
  </si>
  <si>
    <t>MANRAJ, E.M.</t>
  </si>
  <si>
    <t>RAGHURAMAN,  A.R.R.</t>
  </si>
  <si>
    <t>Ashokan.G</t>
  </si>
  <si>
    <t>SEENIVASAN A.R.R</t>
  </si>
  <si>
    <t>K.K.S.S.R.RAMACHANDRAN</t>
  </si>
  <si>
    <t>THANGAM THENARASU</t>
  </si>
  <si>
    <t>MURUGESAN S</t>
  </si>
  <si>
    <t>KARUMANICKAM</t>
  </si>
  <si>
    <t>KATHARBATCHA MUTHURAMALINGAM</t>
  </si>
  <si>
    <t>R.S.RAJAKANNAPPAN</t>
  </si>
  <si>
    <t>MARKANDAYAN V</t>
  </si>
  <si>
    <t>P.Geetha Jeevan</t>
  </si>
  <si>
    <t>Anitha R. Radhakrishnan</t>
  </si>
  <si>
    <t>Amirtharaj .S</t>
  </si>
  <si>
    <t>SHUNMUGAIAH C</t>
  </si>
  <si>
    <t>KADAMBUR RAJU</t>
  </si>
  <si>
    <t>RAJA E</t>
  </si>
  <si>
    <t>SADHAN THIRUMALAIKUMAR, DOCTOR.T</t>
  </si>
  <si>
    <t>C.KRISHNAMURALI</t>
  </si>
  <si>
    <t>PALANI NADAR.S</t>
  </si>
  <si>
    <t>PAUL MANOJ PANDIAN</t>
  </si>
  <si>
    <t>Nainar Nagenthran</t>
  </si>
  <si>
    <t>E.SUBAYA</t>
  </si>
  <si>
    <t>ABDUL WAHAB .M</t>
  </si>
  <si>
    <t>RUBY R MANOHARAN</t>
  </si>
  <si>
    <t>M.Appavu</t>
  </si>
  <si>
    <t>THALAVAI SUNDARAM N.</t>
  </si>
  <si>
    <t>Gandhi M.R.</t>
  </si>
  <si>
    <t>Prince J.G.</t>
  </si>
  <si>
    <t>Mano Thangaraj, T.</t>
  </si>
  <si>
    <t>VIJAYADHARANI S</t>
  </si>
  <si>
    <t>RAJESH KUMAR  S</t>
  </si>
  <si>
    <t>S.VIJAYAKUMAR</t>
  </si>
  <si>
    <t>TVK</t>
  </si>
  <si>
    <t>DR.RAVI.M.S</t>
  </si>
  <si>
    <t>G.HARI</t>
  </si>
  <si>
    <t>DR. T. ARUNKUMAR</t>
  </si>
  <si>
    <t>PRAKASAM.R</t>
  </si>
  <si>
    <t>R.RAMESH KUMAR</t>
  </si>
  <si>
    <t>RHEVANTH CHARAN</t>
  </si>
  <si>
    <t>BALAMURUGAN.G</t>
  </si>
  <si>
    <t>M.L.VIJAYPRABHU</t>
  </si>
  <si>
    <t>SENTHIL KUMAR. N</t>
  </si>
  <si>
    <t>N. MARIE WILSON</t>
  </si>
  <si>
    <t>C. JOSEPH VIJAY</t>
  </si>
  <si>
    <t>V. S. BABU</t>
  </si>
  <si>
    <t>AADHAV ARJUNA</t>
  </si>
  <si>
    <t>M. R. PALLAVI</t>
  </si>
  <si>
    <t>RAJMOHAN</t>
  </si>
  <si>
    <t>ABISHEK. R</t>
  </si>
  <si>
    <t>K.V. VIJAY DAMU</t>
  </si>
  <si>
    <t>P K SEKARBABU</t>
  </si>
  <si>
    <t>PRABHAKAR.J.C.D</t>
  </si>
  <si>
    <t>V.K.RAMKUMAR</t>
  </si>
  <si>
    <t>SABARINATHAN.R</t>
  </si>
  <si>
    <t>ARUL PRAKASAM. M</t>
  </si>
  <si>
    <t>ANAND N</t>
  </si>
  <si>
    <t>VENKATARAMANAN. P</t>
  </si>
  <si>
    <t>KUMAR. R</t>
  </si>
  <si>
    <t>ECR P SARAVANAN</t>
  </si>
  <si>
    <t>M.HARISH</t>
  </si>
  <si>
    <t>THENNARASU.K</t>
  </si>
  <si>
    <t>J.KAMATCHI</t>
  </si>
  <si>
    <t>D.SARATHKUMAR</t>
  </si>
  <si>
    <t>S. THIYAGARAJAN</t>
  </si>
  <si>
    <t>B.VIJAYARAJ</t>
  </si>
  <si>
    <t>RAJASEKAR. E</t>
  </si>
  <si>
    <t>MARAGATHAM KUMARAVEL.K</t>
  </si>
  <si>
    <t>MUNIRATHINAM.J</t>
  </si>
  <si>
    <t>R.V. RANJITHKUMAR</t>
  </si>
  <si>
    <t>V. GANDHIRAJ</t>
  </si>
  <si>
    <t>G.KAPIL</t>
  </si>
  <si>
    <t>DR M SUDHAKAR</t>
  </si>
  <si>
    <t>THAHIRA</t>
  </si>
  <si>
    <t>S.M.SUKUMAR</t>
  </si>
  <si>
    <t>M.M.VINOTH KANNAN</t>
  </si>
  <si>
    <t>D.VELAZHAGAN</t>
  </si>
  <si>
    <t>THENRAL KUMAR. E</t>
  </si>
  <si>
    <t>K.SINDU</t>
  </si>
  <si>
    <t>SYED FAROOQ BASHA SSB</t>
  </si>
  <si>
    <t>VILWANATHAN. A.C.</t>
  </si>
  <si>
    <t>SRINATH</t>
  </si>
  <si>
    <t>VEERAMANI K.C.</t>
  </si>
  <si>
    <t>DR.THIRUPATHI. N</t>
  </si>
  <si>
    <t>NALLATHAMBI. A</t>
  </si>
  <si>
    <t>N ELAIYARAJA</t>
  </si>
  <si>
    <t>E.C. GOVINDARASAN</t>
  </si>
  <si>
    <t>MUKUNDHAN.P</t>
  </si>
  <si>
    <t>SRINIVASAN.P.S</t>
  </si>
  <si>
    <t>BALAKRISHNAREDDY. P</t>
  </si>
  <si>
    <t>RAMACHANDRAN. T</t>
  </si>
  <si>
    <t>ANBALAGAN. K.P.</t>
  </si>
  <si>
    <t>GAJENDRAN. S.</t>
  </si>
  <si>
    <t>SOWMIYA ANBUMANI</t>
  </si>
  <si>
    <t>MARAGATHAM VETRIVEL</t>
  </si>
  <si>
    <t>SAMPATHKUMAR. V</t>
  </si>
  <si>
    <t>S.VELU</t>
  </si>
  <si>
    <t>VELU. E.V</t>
  </si>
  <si>
    <t>RAMACHANDRAN.S</t>
  </si>
  <si>
    <t>AGRI KRISHNAMURTHY. S S</t>
  </si>
  <si>
    <t>JAYASUDHA. L</t>
  </si>
  <si>
    <t>MUKKUR N. SUBRAMANIAN</t>
  </si>
  <si>
    <t>AMBETHKUMAR. S</t>
  </si>
  <si>
    <t>GANESHKUMAR A</t>
  </si>
  <si>
    <t>SHANMUGAM C VE</t>
  </si>
  <si>
    <t>GOWTHAM D</t>
  </si>
  <si>
    <t>PALANISAMY S</t>
  </si>
  <si>
    <t>VASANTHAVEL G R</t>
  </si>
  <si>
    <t>RAKESH R</t>
  </si>
  <si>
    <t>ARUL VIGNESH C</t>
  </si>
  <si>
    <t>JAYASANKARAN. A.P.</t>
  </si>
  <si>
    <t>USHARANI. P</t>
  </si>
  <si>
    <t>MANI. R</t>
  </si>
  <si>
    <t>VENKATACHALAM. G</t>
  </si>
  <si>
    <t>VETRIVEL. S</t>
  </si>
  <si>
    <t>LAKSHMANAN.S</t>
  </si>
  <si>
    <t>SIVAKUMAR. K</t>
  </si>
  <si>
    <t>VIJAY TAMILAN PARTHIBAN. A</t>
  </si>
  <si>
    <t>PALANIVEL. M.S</t>
  </si>
  <si>
    <t>LOGESH TAMILSELVAN D</t>
  </si>
  <si>
    <t>P CHANDRASEKAR</t>
  </si>
  <si>
    <t>DILIP C S</t>
  </si>
  <si>
    <t>ARUNRAJ K G</t>
  </si>
  <si>
    <t>C.VIJAYALAKSHMI</t>
  </si>
  <si>
    <t>M.VIJAY BALAJI</t>
  </si>
  <si>
    <t>ANANTH MOGHAN K.K.</t>
  </si>
  <si>
    <t>D.SHANMUGAN</t>
  </si>
  <si>
    <t>SATHYABAMA.P</t>
  </si>
  <si>
    <t>NSN NATARAJ</t>
  </si>
  <si>
    <t>JAYAKUMAR. S</t>
  </si>
  <si>
    <t>KARUPPANAN. K.C</t>
  </si>
  <si>
    <t>HARIBASKAR.P</t>
  </si>
  <si>
    <t>SENGOTTAIYAN.K.A</t>
  </si>
  <si>
    <t>V.P.TAMILSELVI</t>
  </si>
  <si>
    <t>BHOJARAJAN.M</t>
  </si>
  <si>
    <t>DHRAVIDAMANI.M</t>
  </si>
  <si>
    <t>M. RAJU</t>
  </si>
  <si>
    <t>SUNILANAND</t>
  </si>
  <si>
    <t>V.SATHYABAMA</t>
  </si>
  <si>
    <t>BALAMURUGAN. S</t>
  </si>
  <si>
    <t>K.RAMKUMAR</t>
  </si>
  <si>
    <t>NM.SUKUMAR</t>
  </si>
  <si>
    <t>KANIMOZHI SANTHOSH</t>
  </si>
  <si>
    <t>V. SAMPATHKUMAR</t>
  </si>
  <si>
    <t>S.P.VELUMANI</t>
  </si>
  <si>
    <t>V SENTHILBALAJI</t>
  </si>
  <si>
    <t>K.S.SRI GIRI PRASATH</t>
  </si>
  <si>
    <t>VIGNESH K</t>
  </si>
  <si>
    <t>K. NITHYANANDHAN</t>
  </si>
  <si>
    <t>KUTTY (ALIAS) SUDHAKAR. A</t>
  </si>
  <si>
    <t>JAYAKUMAR M.</t>
  </si>
  <si>
    <t>R JAYARAMAKRISHNAN</t>
  </si>
  <si>
    <t>RAVIMANOHARAN. K</t>
  </si>
  <si>
    <t>SAKKARAPANI. R</t>
  </si>
  <si>
    <t>I. PERIASAMY</t>
  </si>
  <si>
    <t>AYYANAR.R</t>
  </si>
  <si>
    <t>NATHAM VISWANATHAN R</t>
  </si>
  <si>
    <t>SENTHILKUMAR. I.P</t>
  </si>
  <si>
    <t>SAMINATHAN. T</t>
  </si>
  <si>
    <t>M.R. VIJAYABHASKAR</t>
  </si>
  <si>
    <t>SATHYA. M</t>
  </si>
  <si>
    <t>SURIYANUR. A. CHANDRAN</t>
  </si>
  <si>
    <t>R. KATHIRAVAN</t>
  </si>
  <si>
    <t>K.N.NEHRU</t>
  </si>
  <si>
    <t>VIJAYAKUMAR (A) NAVALPATTU S. VIJI</t>
  </si>
  <si>
    <t>LEEMAROSE MARTIN</t>
  </si>
  <si>
    <t>KATHIRAVAN. S</t>
  </si>
  <si>
    <t>RAVISANKAR.M</t>
  </si>
  <si>
    <t>SIVASANKAR. S.S</t>
  </si>
  <si>
    <t>VAITHILINGAM G.</t>
  </si>
  <si>
    <t>GANESAN C.V</t>
  </si>
  <si>
    <t>PREMALLATHA VIJAYAKANT</t>
  </si>
  <si>
    <t>MOHAN. K</t>
  </si>
  <si>
    <t>B.RAJKUMAR</t>
  </si>
  <si>
    <t>ARUNMOZHITHEVAN . A</t>
  </si>
  <si>
    <t>THAMIMUN ANSARI. M</t>
  </si>
  <si>
    <t>L.E. JOTHIMANI</t>
  </si>
  <si>
    <t>SENTHILSELVAN.R</t>
  </si>
  <si>
    <t>JAMAL MOHAMED YOUNOOS. Y.N</t>
  </si>
  <si>
    <t>NIVEDHA M MURUGAN</t>
  </si>
  <si>
    <t>M.H.JAWAHIRULLAH</t>
  </si>
  <si>
    <t>LATHA. T</t>
  </si>
  <si>
    <t>MANIAN. O.S</t>
  </si>
  <si>
    <t>MARIMUTHU.K</t>
  </si>
  <si>
    <t>KAMARAJ. S</t>
  </si>
  <si>
    <t>KALAIVANAN POONDI  K</t>
  </si>
  <si>
    <t>KAMARAJ. R</t>
  </si>
  <si>
    <t>GOVI.CHEZHIAAN</t>
  </si>
  <si>
    <t>A.M. SHAHJAHAN</t>
  </si>
  <si>
    <t>DURAI. CHANDRASEKARAN</t>
  </si>
  <si>
    <t>R. VIJAYSARAVANAN</t>
  </si>
  <si>
    <t>R. VAITHILINGAM</t>
  </si>
  <si>
    <t>ANNADURAI K</t>
  </si>
  <si>
    <t>ASHOKKUMAR. N</t>
  </si>
  <si>
    <t>N. SUBRAMANIAN</t>
  </si>
  <si>
    <t>VIJAYABASKAR. C</t>
  </si>
  <si>
    <t>V. MUTHURAJA</t>
  </si>
  <si>
    <t>REGUPATHY.S</t>
  </si>
  <si>
    <t>MOHAMED FARVAS. J</t>
  </si>
  <si>
    <t>DR.PRABHU. TK</t>
  </si>
  <si>
    <t>KULANTHAI RANI A</t>
  </si>
  <si>
    <t>ELANGOVAN.D</t>
  </si>
  <si>
    <t>P.VISWANATHAN</t>
  </si>
  <si>
    <t>KARUPPAIAH.M.V</t>
  </si>
  <si>
    <t>A.KALLANAI</t>
  </si>
  <si>
    <t>M.M.GOPISON</t>
  </si>
  <si>
    <t>MADHAR BADHURUDEEN</t>
  </si>
  <si>
    <t>THANGAPANDI SR</t>
  </si>
  <si>
    <t>NIRMALKUMAR. R.</t>
  </si>
  <si>
    <t>MANIMARAN.M</t>
  </si>
  <si>
    <t>VIJAY. M</t>
  </si>
  <si>
    <t>MAHARAJAN.A</t>
  </si>
  <si>
    <t>SABARI IYNGARAN G.</t>
  </si>
  <si>
    <t>PANNEERSELVAM.O</t>
  </si>
  <si>
    <t>JEGANATHMISHRA PLA</t>
  </si>
  <si>
    <t>JEGADESHWARI. K</t>
  </si>
  <si>
    <t>SARAVANAN. G</t>
  </si>
  <si>
    <t>KARTHIK.A</t>
  </si>
  <si>
    <t>KADARKARAIRAJ. A</t>
  </si>
  <si>
    <t>KEERTHANA S</t>
  </si>
  <si>
    <t>SELVAM P</t>
  </si>
  <si>
    <t>RAMACHANDRAN. K.K.S.S.R</t>
  </si>
  <si>
    <t>ADVOCATE. KATHIRAVAN. K.K</t>
  </si>
  <si>
    <t>RAJEEV</t>
  </si>
  <si>
    <t>MARKANDAYAN G V</t>
  </si>
  <si>
    <t>ANITHA R. RADHAKRISHNAN</t>
  </si>
  <si>
    <t>P .MATHANRAJA</t>
  </si>
  <si>
    <t>KARUNANITHI.K</t>
  </si>
  <si>
    <t>DR. DHILIPAN JAISHANKAR</t>
  </si>
  <si>
    <t>E. RAJA</t>
  </si>
  <si>
    <t>RAJENDRAN. T. M</t>
  </si>
  <si>
    <t>DR.KALAI KATHIRAVAN</t>
  </si>
  <si>
    <t>MURUGHAN.R.S.</t>
  </si>
  <si>
    <t>DR.ESAKKI SUBAYA</t>
  </si>
  <si>
    <t>M.ABDUL WAHAB</t>
  </si>
  <si>
    <t>REDDIARPATTI V. NARAYANAN</t>
  </si>
  <si>
    <t>DR.SATHISH CHRISTOPHER</t>
  </si>
  <si>
    <t>THALAVAI SUNDARAM. N</t>
  </si>
  <si>
    <t>AUSTIN</t>
  </si>
  <si>
    <t>THARAHAI CUTHBERT</t>
  </si>
  <si>
    <t>CHELLASWAMY. R</t>
  </si>
  <si>
    <t>PRAVEEN T.T</t>
  </si>
  <si>
    <t>Count of Winner_2021</t>
  </si>
  <si>
    <t>Count of Winner_2026</t>
  </si>
  <si>
    <t>Party_Group_2021</t>
  </si>
  <si>
    <t>Party_Group_2026</t>
  </si>
  <si>
    <t>Others</t>
  </si>
  <si>
    <t>Total</t>
  </si>
  <si>
    <t>Region</t>
  </si>
  <si>
    <t>Parties</t>
  </si>
  <si>
    <t>Between 2021 and 2026, Tamil Nadu’s political geography changed significantly with the rise of TVK. In 2021, DMK dominated most regions across the state. However, by 2026, TVK emerged as a major force, especially in Chennai Metro and South Tamil Nadu, where it captured a large number of seats from DMK.</t>
  </si>
  <si>
    <t>Kongu and North Tamil Nadu became more competitive, with both TVK and AIADMK gaining ground while DMK’s influence weakened. AIADMK retained relative strength in Kongu and parts of the North, whereas DMK continued to hold strong positions in Central and Delta regions.</t>
  </si>
  <si>
    <t>Overall, the 2026 election transformed Tamil Nadu from a DMK-dominated map into a more fragmented and competitive regional landscape.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</si>
</sst>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7">
    <xf numFmtId="0" fontId="0" fillId="0" borderId="0" xfId="0"/>
    <xf numFmtId="0" fontId="0" fillId="0" borderId="0" xfId="0" pivotButton="1"/>
    <xf numFmtId="0" fontId="0" fillId="0" borderId="0" xfId="0" applyAlignment="1">
      <alignment horizontal="left"/>
    </xf>
    <xf numFmtId="0" fontId="18" fillId="0" borderId="0" xfId="0" applyFont="1" applyAlignment="1">
      <alignment wrapText="1"/>
    </xf>
    <xf numFmtId="0" fontId="0" fillId="0" borderId="10" xfId="0" applyBorder="1"/>
    <xf numFmtId="0" fontId="16" fillId="0" borderId="10" xfId="0" applyFont="1" applyBorder="1"/>
    <xf numFmtId="10" fontId="0" fillId="0" borderId="10" xfId="42" applyNumberFormat="1" applyFont="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0070C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 1.xlsm]constituency_master!PivotTable1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Regional</a:t>
            </a:r>
            <a:r>
              <a:rPr lang="en-IN" baseline="0"/>
              <a:t> distribution - 2021</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constituency_master!$L$2:$L$3</c:f>
              <c:strCache>
                <c:ptCount val="1"/>
                <c:pt idx="0">
                  <c:v>AIADMK</c:v>
                </c:pt>
              </c:strCache>
            </c:strRef>
          </c:tx>
          <c:spPr>
            <a:solidFill>
              <a:srgbClr val="00B0F0"/>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constituency_master!$L$4:$L$10</c:f>
              <c:numCache>
                <c:formatCode>General</c:formatCode>
                <c:ptCount val="6"/>
                <c:pt idx="0">
                  <c:v>15</c:v>
                </c:pt>
                <c:pt idx="2">
                  <c:v>4</c:v>
                </c:pt>
                <c:pt idx="3">
                  <c:v>19</c:v>
                </c:pt>
                <c:pt idx="4">
                  <c:v>12</c:v>
                </c:pt>
                <c:pt idx="5">
                  <c:v>16</c:v>
                </c:pt>
              </c:numCache>
            </c:numRef>
          </c:val>
          <c:extLst>
            <c:ext xmlns:c16="http://schemas.microsoft.com/office/drawing/2014/chart" uri="{C3380CC4-5D6E-409C-BE32-E72D297353CC}">
              <c16:uniqueId val="{00000000-BF96-435E-9859-8B62CDE96D92}"/>
            </c:ext>
          </c:extLst>
        </c:ser>
        <c:ser>
          <c:idx val="1"/>
          <c:order val="1"/>
          <c:tx>
            <c:strRef>
              <c:f>constituency_master!$M$2:$M$3</c:f>
              <c:strCache>
                <c:ptCount val="1"/>
                <c:pt idx="0">
                  <c:v>DMK</c:v>
                </c:pt>
              </c:strCache>
            </c:strRef>
          </c:tx>
          <c:spPr>
            <a:solidFill>
              <a:srgbClr val="FF0000"/>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constituency_master!$M$4:$M$10</c:f>
              <c:numCache>
                <c:formatCode>General</c:formatCode>
                <c:ptCount val="6"/>
                <c:pt idx="0">
                  <c:v>21</c:v>
                </c:pt>
                <c:pt idx="1">
                  <c:v>29</c:v>
                </c:pt>
                <c:pt idx="2">
                  <c:v>23</c:v>
                </c:pt>
                <c:pt idx="3">
                  <c:v>10</c:v>
                </c:pt>
                <c:pt idx="4">
                  <c:v>19</c:v>
                </c:pt>
                <c:pt idx="5">
                  <c:v>31</c:v>
                </c:pt>
              </c:numCache>
            </c:numRef>
          </c:val>
          <c:extLst>
            <c:ext xmlns:c16="http://schemas.microsoft.com/office/drawing/2014/chart" uri="{C3380CC4-5D6E-409C-BE32-E72D297353CC}">
              <c16:uniqueId val="{00000001-BF96-435E-9859-8B62CDE96D92}"/>
            </c:ext>
          </c:extLst>
        </c:ser>
        <c:ser>
          <c:idx val="2"/>
          <c:order val="2"/>
          <c:tx>
            <c:strRef>
              <c:f>constituency_master!$N$2:$N$3</c:f>
              <c:strCache>
                <c:ptCount val="1"/>
                <c:pt idx="0">
                  <c:v>INC</c:v>
                </c:pt>
              </c:strCache>
            </c:strRef>
          </c:tx>
          <c:spPr>
            <a:solidFill>
              <a:schemeClr val="accent3"/>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constituency_master!$N$4:$N$10</c:f>
              <c:numCache>
                <c:formatCode>General</c:formatCode>
                <c:ptCount val="6"/>
                <c:pt idx="0">
                  <c:v>1</c:v>
                </c:pt>
                <c:pt idx="1">
                  <c:v>3</c:v>
                </c:pt>
                <c:pt idx="2">
                  <c:v>2</c:v>
                </c:pt>
                <c:pt idx="3">
                  <c:v>2</c:v>
                </c:pt>
                <c:pt idx="4">
                  <c:v>1</c:v>
                </c:pt>
                <c:pt idx="5">
                  <c:v>9</c:v>
                </c:pt>
              </c:numCache>
            </c:numRef>
          </c:val>
          <c:extLst>
            <c:ext xmlns:c16="http://schemas.microsoft.com/office/drawing/2014/chart" uri="{C3380CC4-5D6E-409C-BE32-E72D297353CC}">
              <c16:uniqueId val="{00000002-BF96-435E-9859-8B62CDE96D92}"/>
            </c:ext>
          </c:extLst>
        </c:ser>
        <c:ser>
          <c:idx val="3"/>
          <c:order val="3"/>
          <c:tx>
            <c:strRef>
              <c:f>constituency_master!$O$2:$O$3</c:f>
              <c:strCache>
                <c:ptCount val="1"/>
                <c:pt idx="0">
                  <c:v>Others</c:v>
                </c:pt>
              </c:strCache>
            </c:strRef>
          </c:tx>
          <c:spPr>
            <a:solidFill>
              <a:schemeClr val="accent4"/>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constituency_master!$O$4:$O$10</c:f>
              <c:numCache>
                <c:formatCode>General</c:formatCode>
                <c:ptCount val="6"/>
                <c:pt idx="0">
                  <c:v>1</c:v>
                </c:pt>
                <c:pt idx="2">
                  <c:v>4</c:v>
                </c:pt>
                <c:pt idx="3">
                  <c:v>2</c:v>
                </c:pt>
                <c:pt idx="4">
                  <c:v>3</c:v>
                </c:pt>
                <c:pt idx="5">
                  <c:v>2</c:v>
                </c:pt>
              </c:numCache>
            </c:numRef>
          </c:val>
          <c:extLst>
            <c:ext xmlns:c16="http://schemas.microsoft.com/office/drawing/2014/chart" uri="{C3380CC4-5D6E-409C-BE32-E72D297353CC}">
              <c16:uniqueId val="{00000003-BF96-435E-9859-8B62CDE96D92}"/>
            </c:ext>
          </c:extLst>
        </c:ser>
        <c:ser>
          <c:idx val="4"/>
          <c:order val="4"/>
          <c:tx>
            <c:strRef>
              <c:f>constituency_master!$P$2:$P$3</c:f>
              <c:strCache>
                <c:ptCount val="1"/>
                <c:pt idx="0">
                  <c:v>PMK</c:v>
                </c:pt>
              </c:strCache>
            </c:strRef>
          </c:tx>
          <c:spPr>
            <a:solidFill>
              <a:srgbClr val="7030A0"/>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constituency_master!$P$4:$P$10</c:f>
              <c:numCache>
                <c:formatCode>General</c:formatCode>
                <c:ptCount val="6"/>
                <c:pt idx="0">
                  <c:v>3</c:v>
                </c:pt>
                <c:pt idx="4">
                  <c:v>2</c:v>
                </c:pt>
              </c:numCache>
            </c:numRef>
          </c:val>
          <c:extLst>
            <c:ext xmlns:c16="http://schemas.microsoft.com/office/drawing/2014/chart" uri="{C3380CC4-5D6E-409C-BE32-E72D297353CC}">
              <c16:uniqueId val="{00000004-BF96-435E-9859-8B62CDE96D92}"/>
            </c:ext>
          </c:extLst>
        </c:ser>
        <c:dLbls>
          <c:showLegendKey val="0"/>
          <c:showVal val="0"/>
          <c:showCatName val="0"/>
          <c:showSerName val="0"/>
          <c:showPercent val="0"/>
          <c:showBubbleSize val="0"/>
        </c:dLbls>
        <c:gapWidth val="150"/>
        <c:overlap val="100"/>
        <c:axId val="1080793343"/>
        <c:axId val="1080793823"/>
      </c:barChart>
      <c:catAx>
        <c:axId val="1080793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0793823"/>
        <c:crosses val="autoZero"/>
        <c:auto val="1"/>
        <c:lblAlgn val="ctr"/>
        <c:lblOffset val="100"/>
        <c:noMultiLvlLbl val="0"/>
      </c:catAx>
      <c:valAx>
        <c:axId val="10807938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0793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 1.xlsm]constituency_master!PivotTable2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kern="1200" spc="0" baseline="0">
                <a:solidFill>
                  <a:sysClr val="windowText" lastClr="000000">
                    <a:lumMod val="65000"/>
                    <a:lumOff val="35000"/>
                  </a:sysClr>
                </a:solidFill>
              </a:rPr>
              <a:t>Regional distribution - 2026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constituency_master!$L$12:$L$13</c:f>
              <c:strCache>
                <c:ptCount val="1"/>
                <c:pt idx="0">
                  <c:v>AIADMK</c:v>
                </c:pt>
              </c:strCache>
            </c:strRef>
          </c:tx>
          <c:spPr>
            <a:solidFill>
              <a:srgbClr val="00B0F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constituency_master!$L$14:$L$20</c:f>
              <c:numCache>
                <c:formatCode>General</c:formatCode>
                <c:ptCount val="6"/>
                <c:pt idx="0">
                  <c:v>15</c:v>
                </c:pt>
                <c:pt idx="1">
                  <c:v>1</c:v>
                </c:pt>
                <c:pt idx="2">
                  <c:v>4</c:v>
                </c:pt>
                <c:pt idx="3">
                  <c:v>7</c:v>
                </c:pt>
                <c:pt idx="4">
                  <c:v>15</c:v>
                </c:pt>
                <c:pt idx="5">
                  <c:v>5</c:v>
                </c:pt>
              </c:numCache>
            </c:numRef>
          </c:val>
          <c:extLst>
            <c:ext xmlns:c16="http://schemas.microsoft.com/office/drawing/2014/chart" uri="{C3380CC4-5D6E-409C-BE32-E72D297353CC}">
              <c16:uniqueId val="{00000000-27F1-4E9C-AFC0-D95BBC894EA9}"/>
            </c:ext>
          </c:extLst>
        </c:ser>
        <c:ser>
          <c:idx val="1"/>
          <c:order val="1"/>
          <c:tx>
            <c:strRef>
              <c:f>constituency_master!$M$12:$M$13</c:f>
              <c:strCache>
                <c:ptCount val="1"/>
                <c:pt idx="0">
                  <c:v>DMK</c:v>
                </c:pt>
              </c:strCache>
            </c:strRef>
          </c:tx>
          <c:spPr>
            <a:solidFill>
              <a:srgbClr val="FF000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constituency_master!$M$14:$M$20</c:f>
              <c:numCache>
                <c:formatCode>General</c:formatCode>
                <c:ptCount val="6"/>
                <c:pt idx="0">
                  <c:v>8</c:v>
                </c:pt>
                <c:pt idx="1">
                  <c:v>2</c:v>
                </c:pt>
                <c:pt idx="2">
                  <c:v>14</c:v>
                </c:pt>
                <c:pt idx="3">
                  <c:v>9</c:v>
                </c:pt>
                <c:pt idx="4">
                  <c:v>4</c:v>
                </c:pt>
                <c:pt idx="5">
                  <c:v>22</c:v>
                </c:pt>
              </c:numCache>
            </c:numRef>
          </c:val>
          <c:extLst>
            <c:ext xmlns:c16="http://schemas.microsoft.com/office/drawing/2014/chart" uri="{C3380CC4-5D6E-409C-BE32-E72D297353CC}">
              <c16:uniqueId val="{00000001-27F1-4E9C-AFC0-D95BBC894EA9}"/>
            </c:ext>
          </c:extLst>
        </c:ser>
        <c:ser>
          <c:idx val="2"/>
          <c:order val="2"/>
          <c:tx>
            <c:strRef>
              <c:f>constituency_master!$N$12:$N$13</c:f>
              <c:strCache>
                <c:ptCount val="1"/>
                <c:pt idx="0">
                  <c:v>INC</c:v>
                </c:pt>
              </c:strCache>
            </c:strRef>
          </c:tx>
          <c:spPr>
            <a:solidFill>
              <a:schemeClr val="accent3"/>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constituency_master!$N$14:$N$20</c:f>
              <c:numCache>
                <c:formatCode>General</c:formatCode>
                <c:ptCount val="6"/>
                <c:pt idx="2">
                  <c:v>1</c:v>
                </c:pt>
                <c:pt idx="5">
                  <c:v>4</c:v>
                </c:pt>
              </c:numCache>
            </c:numRef>
          </c:val>
          <c:extLst>
            <c:ext xmlns:c16="http://schemas.microsoft.com/office/drawing/2014/chart" uri="{C3380CC4-5D6E-409C-BE32-E72D297353CC}">
              <c16:uniqueId val="{00000002-27F1-4E9C-AFC0-D95BBC894EA9}"/>
            </c:ext>
          </c:extLst>
        </c:ser>
        <c:ser>
          <c:idx val="3"/>
          <c:order val="3"/>
          <c:tx>
            <c:strRef>
              <c:f>constituency_master!$O$12:$O$13</c:f>
              <c:strCache>
                <c:ptCount val="1"/>
                <c:pt idx="0">
                  <c:v>Others</c:v>
                </c:pt>
              </c:strCache>
            </c:strRef>
          </c:tx>
          <c:spPr>
            <a:solidFill>
              <a:schemeClr val="accent4"/>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constituency_master!$O$14:$O$20</c:f>
              <c:numCache>
                <c:formatCode>General</c:formatCode>
                <c:ptCount val="6"/>
                <c:pt idx="0">
                  <c:v>3</c:v>
                </c:pt>
                <c:pt idx="2">
                  <c:v>4</c:v>
                </c:pt>
                <c:pt idx="3">
                  <c:v>1</c:v>
                </c:pt>
                <c:pt idx="4">
                  <c:v>2</c:v>
                </c:pt>
                <c:pt idx="5">
                  <c:v>1</c:v>
                </c:pt>
              </c:numCache>
            </c:numRef>
          </c:val>
          <c:extLst>
            <c:ext xmlns:c16="http://schemas.microsoft.com/office/drawing/2014/chart" uri="{C3380CC4-5D6E-409C-BE32-E72D297353CC}">
              <c16:uniqueId val="{00000003-27F1-4E9C-AFC0-D95BBC894EA9}"/>
            </c:ext>
          </c:extLst>
        </c:ser>
        <c:ser>
          <c:idx val="4"/>
          <c:order val="4"/>
          <c:tx>
            <c:strRef>
              <c:f>constituency_master!$P$12:$P$13</c:f>
              <c:strCache>
                <c:ptCount val="1"/>
                <c:pt idx="0">
                  <c:v>PMK</c:v>
                </c:pt>
              </c:strCache>
            </c:strRef>
          </c:tx>
          <c:spPr>
            <a:solidFill>
              <a:srgbClr val="7030A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constituency_master!$P$14:$P$20</c:f>
              <c:numCache>
                <c:formatCode>General</c:formatCode>
                <c:ptCount val="6"/>
                <c:pt idx="0">
                  <c:v>3</c:v>
                </c:pt>
                <c:pt idx="4">
                  <c:v>1</c:v>
                </c:pt>
              </c:numCache>
            </c:numRef>
          </c:val>
          <c:extLst>
            <c:ext xmlns:c16="http://schemas.microsoft.com/office/drawing/2014/chart" uri="{C3380CC4-5D6E-409C-BE32-E72D297353CC}">
              <c16:uniqueId val="{00000004-27F1-4E9C-AFC0-D95BBC894EA9}"/>
            </c:ext>
          </c:extLst>
        </c:ser>
        <c:ser>
          <c:idx val="5"/>
          <c:order val="5"/>
          <c:tx>
            <c:strRef>
              <c:f>constituency_master!$Q$12:$Q$13</c:f>
              <c:strCache>
                <c:ptCount val="1"/>
                <c:pt idx="0">
                  <c:v>TVK</c:v>
                </c:pt>
              </c:strCache>
            </c:strRef>
          </c:tx>
          <c:spPr>
            <a:solidFill>
              <a:srgbClr val="92D05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constituency_master!$Q$14:$Q$20</c:f>
              <c:numCache>
                <c:formatCode>General</c:formatCode>
                <c:ptCount val="6"/>
                <c:pt idx="0">
                  <c:v>12</c:v>
                </c:pt>
                <c:pt idx="1">
                  <c:v>29</c:v>
                </c:pt>
                <c:pt idx="2">
                  <c:v>10</c:v>
                </c:pt>
                <c:pt idx="3">
                  <c:v>16</c:v>
                </c:pt>
                <c:pt idx="4">
                  <c:v>15</c:v>
                </c:pt>
                <c:pt idx="5">
                  <c:v>26</c:v>
                </c:pt>
              </c:numCache>
            </c:numRef>
          </c:val>
          <c:extLst>
            <c:ext xmlns:c16="http://schemas.microsoft.com/office/drawing/2014/chart" uri="{C3380CC4-5D6E-409C-BE32-E72D297353CC}">
              <c16:uniqueId val="{00000005-27F1-4E9C-AFC0-D95BBC894EA9}"/>
            </c:ext>
          </c:extLst>
        </c:ser>
        <c:dLbls>
          <c:showLegendKey val="0"/>
          <c:showVal val="0"/>
          <c:showCatName val="0"/>
          <c:showSerName val="0"/>
          <c:showPercent val="0"/>
          <c:showBubbleSize val="0"/>
        </c:dLbls>
        <c:gapWidth val="150"/>
        <c:overlap val="100"/>
        <c:axId val="1090212639"/>
        <c:axId val="1090214079"/>
      </c:barChart>
      <c:catAx>
        <c:axId val="1090212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214079"/>
        <c:crosses val="autoZero"/>
        <c:auto val="1"/>
        <c:lblAlgn val="ctr"/>
        <c:lblOffset val="100"/>
        <c:noMultiLvlLbl val="0"/>
      </c:catAx>
      <c:valAx>
        <c:axId val="109021407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2126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 1.xlsm]constituency_master!PivotTable1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Regional</a:t>
            </a:r>
            <a:r>
              <a:rPr lang="en-IN" baseline="0"/>
              <a:t> distribution (2021)</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constituency_master!$L$2:$L$3</c:f>
              <c:strCache>
                <c:ptCount val="1"/>
                <c:pt idx="0">
                  <c:v>AIADMK</c:v>
                </c:pt>
              </c:strCache>
            </c:strRef>
          </c:tx>
          <c:spPr>
            <a:solidFill>
              <a:srgbClr val="00B0F0"/>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constituency_master!$L$4:$L$10</c:f>
              <c:numCache>
                <c:formatCode>General</c:formatCode>
                <c:ptCount val="6"/>
                <c:pt idx="0">
                  <c:v>15</c:v>
                </c:pt>
                <c:pt idx="2">
                  <c:v>4</c:v>
                </c:pt>
                <c:pt idx="3">
                  <c:v>19</c:v>
                </c:pt>
                <c:pt idx="4">
                  <c:v>12</c:v>
                </c:pt>
                <c:pt idx="5">
                  <c:v>16</c:v>
                </c:pt>
              </c:numCache>
            </c:numRef>
          </c:val>
          <c:extLst>
            <c:ext xmlns:c16="http://schemas.microsoft.com/office/drawing/2014/chart" uri="{C3380CC4-5D6E-409C-BE32-E72D297353CC}">
              <c16:uniqueId val="{00000000-599E-4A0B-9E05-2466FEBD7026}"/>
            </c:ext>
          </c:extLst>
        </c:ser>
        <c:ser>
          <c:idx val="1"/>
          <c:order val="1"/>
          <c:tx>
            <c:strRef>
              <c:f>constituency_master!$M$2:$M$3</c:f>
              <c:strCache>
                <c:ptCount val="1"/>
                <c:pt idx="0">
                  <c:v>DMK</c:v>
                </c:pt>
              </c:strCache>
            </c:strRef>
          </c:tx>
          <c:spPr>
            <a:solidFill>
              <a:srgbClr val="FF0000"/>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constituency_master!$M$4:$M$10</c:f>
              <c:numCache>
                <c:formatCode>General</c:formatCode>
                <c:ptCount val="6"/>
                <c:pt idx="0">
                  <c:v>21</c:v>
                </c:pt>
                <c:pt idx="1">
                  <c:v>29</c:v>
                </c:pt>
                <c:pt idx="2">
                  <c:v>23</c:v>
                </c:pt>
                <c:pt idx="3">
                  <c:v>10</c:v>
                </c:pt>
                <c:pt idx="4">
                  <c:v>19</c:v>
                </c:pt>
                <c:pt idx="5">
                  <c:v>31</c:v>
                </c:pt>
              </c:numCache>
            </c:numRef>
          </c:val>
          <c:extLst>
            <c:ext xmlns:c16="http://schemas.microsoft.com/office/drawing/2014/chart" uri="{C3380CC4-5D6E-409C-BE32-E72D297353CC}">
              <c16:uniqueId val="{00000001-599E-4A0B-9E05-2466FEBD7026}"/>
            </c:ext>
          </c:extLst>
        </c:ser>
        <c:ser>
          <c:idx val="2"/>
          <c:order val="2"/>
          <c:tx>
            <c:strRef>
              <c:f>constituency_master!$N$2:$N$3</c:f>
              <c:strCache>
                <c:ptCount val="1"/>
                <c:pt idx="0">
                  <c:v>INC</c:v>
                </c:pt>
              </c:strCache>
            </c:strRef>
          </c:tx>
          <c:spPr>
            <a:solidFill>
              <a:schemeClr val="accent3"/>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constituency_master!$N$4:$N$10</c:f>
              <c:numCache>
                <c:formatCode>General</c:formatCode>
                <c:ptCount val="6"/>
                <c:pt idx="0">
                  <c:v>1</c:v>
                </c:pt>
                <c:pt idx="1">
                  <c:v>3</c:v>
                </c:pt>
                <c:pt idx="2">
                  <c:v>2</c:v>
                </c:pt>
                <c:pt idx="3">
                  <c:v>2</c:v>
                </c:pt>
                <c:pt idx="4">
                  <c:v>1</c:v>
                </c:pt>
                <c:pt idx="5">
                  <c:v>9</c:v>
                </c:pt>
              </c:numCache>
            </c:numRef>
          </c:val>
          <c:extLst>
            <c:ext xmlns:c16="http://schemas.microsoft.com/office/drawing/2014/chart" uri="{C3380CC4-5D6E-409C-BE32-E72D297353CC}">
              <c16:uniqueId val="{00000002-599E-4A0B-9E05-2466FEBD7026}"/>
            </c:ext>
          </c:extLst>
        </c:ser>
        <c:ser>
          <c:idx val="3"/>
          <c:order val="3"/>
          <c:tx>
            <c:strRef>
              <c:f>constituency_master!$O$2:$O$3</c:f>
              <c:strCache>
                <c:ptCount val="1"/>
                <c:pt idx="0">
                  <c:v>Others</c:v>
                </c:pt>
              </c:strCache>
            </c:strRef>
          </c:tx>
          <c:spPr>
            <a:solidFill>
              <a:schemeClr val="accent4"/>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constituency_master!$O$4:$O$10</c:f>
              <c:numCache>
                <c:formatCode>General</c:formatCode>
                <c:ptCount val="6"/>
                <c:pt idx="0">
                  <c:v>1</c:v>
                </c:pt>
                <c:pt idx="2">
                  <c:v>4</c:v>
                </c:pt>
                <c:pt idx="3">
                  <c:v>2</c:v>
                </c:pt>
                <c:pt idx="4">
                  <c:v>3</c:v>
                </c:pt>
                <c:pt idx="5">
                  <c:v>2</c:v>
                </c:pt>
              </c:numCache>
            </c:numRef>
          </c:val>
          <c:extLst>
            <c:ext xmlns:c16="http://schemas.microsoft.com/office/drawing/2014/chart" uri="{C3380CC4-5D6E-409C-BE32-E72D297353CC}">
              <c16:uniqueId val="{00000003-599E-4A0B-9E05-2466FEBD7026}"/>
            </c:ext>
          </c:extLst>
        </c:ser>
        <c:ser>
          <c:idx val="4"/>
          <c:order val="4"/>
          <c:tx>
            <c:strRef>
              <c:f>constituency_master!$P$2:$P$3</c:f>
              <c:strCache>
                <c:ptCount val="1"/>
                <c:pt idx="0">
                  <c:v>PMK</c:v>
                </c:pt>
              </c:strCache>
            </c:strRef>
          </c:tx>
          <c:spPr>
            <a:solidFill>
              <a:srgbClr val="7030A0"/>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constituency_master!$P$4:$P$10</c:f>
              <c:numCache>
                <c:formatCode>General</c:formatCode>
                <c:ptCount val="6"/>
                <c:pt idx="0">
                  <c:v>3</c:v>
                </c:pt>
                <c:pt idx="4">
                  <c:v>2</c:v>
                </c:pt>
              </c:numCache>
            </c:numRef>
          </c:val>
          <c:extLst>
            <c:ext xmlns:c16="http://schemas.microsoft.com/office/drawing/2014/chart" uri="{C3380CC4-5D6E-409C-BE32-E72D297353CC}">
              <c16:uniqueId val="{00000004-599E-4A0B-9E05-2466FEBD7026}"/>
            </c:ext>
          </c:extLst>
        </c:ser>
        <c:dLbls>
          <c:showLegendKey val="0"/>
          <c:showVal val="0"/>
          <c:showCatName val="0"/>
          <c:showSerName val="0"/>
          <c:showPercent val="0"/>
          <c:showBubbleSize val="0"/>
        </c:dLbls>
        <c:gapWidth val="150"/>
        <c:overlap val="100"/>
        <c:axId val="1080793343"/>
        <c:axId val="1080793823"/>
      </c:barChart>
      <c:catAx>
        <c:axId val="1080793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0793823"/>
        <c:crosses val="autoZero"/>
        <c:auto val="1"/>
        <c:lblAlgn val="ctr"/>
        <c:lblOffset val="100"/>
        <c:noMultiLvlLbl val="0"/>
      </c:catAx>
      <c:valAx>
        <c:axId val="1080793823"/>
        <c:scaling>
          <c:orientation val="minMax"/>
          <c:max val="6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0793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 1.xlsm]constituency_master!PivotTable2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kern="1200" spc="0" baseline="0">
                <a:solidFill>
                  <a:sysClr val="windowText" lastClr="000000">
                    <a:lumMod val="65000"/>
                    <a:lumOff val="35000"/>
                  </a:sysClr>
                </a:solidFill>
              </a:rPr>
              <a:t>Regional distribution (2026)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constituency_master!$L$12:$L$13</c:f>
              <c:strCache>
                <c:ptCount val="1"/>
                <c:pt idx="0">
                  <c:v>AIADMK</c:v>
                </c:pt>
              </c:strCache>
            </c:strRef>
          </c:tx>
          <c:spPr>
            <a:solidFill>
              <a:srgbClr val="00B0F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constituency_master!$L$14:$L$20</c:f>
              <c:numCache>
                <c:formatCode>General</c:formatCode>
                <c:ptCount val="6"/>
                <c:pt idx="0">
                  <c:v>15</c:v>
                </c:pt>
                <c:pt idx="1">
                  <c:v>1</c:v>
                </c:pt>
                <c:pt idx="2">
                  <c:v>4</c:v>
                </c:pt>
                <c:pt idx="3">
                  <c:v>7</c:v>
                </c:pt>
                <c:pt idx="4">
                  <c:v>15</c:v>
                </c:pt>
                <c:pt idx="5">
                  <c:v>5</c:v>
                </c:pt>
              </c:numCache>
            </c:numRef>
          </c:val>
          <c:extLst>
            <c:ext xmlns:c16="http://schemas.microsoft.com/office/drawing/2014/chart" uri="{C3380CC4-5D6E-409C-BE32-E72D297353CC}">
              <c16:uniqueId val="{00000000-050A-44CD-B69C-170FA743F7D7}"/>
            </c:ext>
          </c:extLst>
        </c:ser>
        <c:ser>
          <c:idx val="1"/>
          <c:order val="1"/>
          <c:tx>
            <c:strRef>
              <c:f>constituency_master!$M$12:$M$13</c:f>
              <c:strCache>
                <c:ptCount val="1"/>
                <c:pt idx="0">
                  <c:v>DMK</c:v>
                </c:pt>
              </c:strCache>
            </c:strRef>
          </c:tx>
          <c:spPr>
            <a:solidFill>
              <a:srgbClr val="FF000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constituency_master!$M$14:$M$20</c:f>
              <c:numCache>
                <c:formatCode>General</c:formatCode>
                <c:ptCount val="6"/>
                <c:pt idx="0">
                  <c:v>8</c:v>
                </c:pt>
                <c:pt idx="1">
                  <c:v>2</c:v>
                </c:pt>
                <c:pt idx="2">
                  <c:v>14</c:v>
                </c:pt>
                <c:pt idx="3">
                  <c:v>9</c:v>
                </c:pt>
                <c:pt idx="4">
                  <c:v>4</c:v>
                </c:pt>
                <c:pt idx="5">
                  <c:v>22</c:v>
                </c:pt>
              </c:numCache>
            </c:numRef>
          </c:val>
          <c:extLst>
            <c:ext xmlns:c16="http://schemas.microsoft.com/office/drawing/2014/chart" uri="{C3380CC4-5D6E-409C-BE32-E72D297353CC}">
              <c16:uniqueId val="{00000001-050A-44CD-B69C-170FA743F7D7}"/>
            </c:ext>
          </c:extLst>
        </c:ser>
        <c:ser>
          <c:idx val="2"/>
          <c:order val="2"/>
          <c:tx>
            <c:strRef>
              <c:f>constituency_master!$N$12:$N$13</c:f>
              <c:strCache>
                <c:ptCount val="1"/>
                <c:pt idx="0">
                  <c:v>INC</c:v>
                </c:pt>
              </c:strCache>
            </c:strRef>
          </c:tx>
          <c:spPr>
            <a:solidFill>
              <a:schemeClr val="accent3"/>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constituency_master!$N$14:$N$20</c:f>
              <c:numCache>
                <c:formatCode>General</c:formatCode>
                <c:ptCount val="6"/>
                <c:pt idx="2">
                  <c:v>1</c:v>
                </c:pt>
                <c:pt idx="5">
                  <c:v>4</c:v>
                </c:pt>
              </c:numCache>
            </c:numRef>
          </c:val>
          <c:extLst>
            <c:ext xmlns:c16="http://schemas.microsoft.com/office/drawing/2014/chart" uri="{C3380CC4-5D6E-409C-BE32-E72D297353CC}">
              <c16:uniqueId val="{00000002-050A-44CD-B69C-170FA743F7D7}"/>
            </c:ext>
          </c:extLst>
        </c:ser>
        <c:ser>
          <c:idx val="3"/>
          <c:order val="3"/>
          <c:tx>
            <c:strRef>
              <c:f>constituency_master!$O$12:$O$13</c:f>
              <c:strCache>
                <c:ptCount val="1"/>
                <c:pt idx="0">
                  <c:v>Others</c:v>
                </c:pt>
              </c:strCache>
            </c:strRef>
          </c:tx>
          <c:spPr>
            <a:solidFill>
              <a:schemeClr val="accent4"/>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constituency_master!$O$14:$O$20</c:f>
              <c:numCache>
                <c:formatCode>General</c:formatCode>
                <c:ptCount val="6"/>
                <c:pt idx="0">
                  <c:v>3</c:v>
                </c:pt>
                <c:pt idx="2">
                  <c:v>4</c:v>
                </c:pt>
                <c:pt idx="3">
                  <c:v>1</c:v>
                </c:pt>
                <c:pt idx="4">
                  <c:v>2</c:v>
                </c:pt>
                <c:pt idx="5">
                  <c:v>1</c:v>
                </c:pt>
              </c:numCache>
            </c:numRef>
          </c:val>
          <c:extLst>
            <c:ext xmlns:c16="http://schemas.microsoft.com/office/drawing/2014/chart" uri="{C3380CC4-5D6E-409C-BE32-E72D297353CC}">
              <c16:uniqueId val="{00000003-050A-44CD-B69C-170FA743F7D7}"/>
            </c:ext>
          </c:extLst>
        </c:ser>
        <c:ser>
          <c:idx val="4"/>
          <c:order val="4"/>
          <c:tx>
            <c:strRef>
              <c:f>constituency_master!$P$12:$P$13</c:f>
              <c:strCache>
                <c:ptCount val="1"/>
                <c:pt idx="0">
                  <c:v>PMK</c:v>
                </c:pt>
              </c:strCache>
            </c:strRef>
          </c:tx>
          <c:spPr>
            <a:solidFill>
              <a:srgbClr val="7030A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constituency_master!$P$14:$P$20</c:f>
              <c:numCache>
                <c:formatCode>General</c:formatCode>
                <c:ptCount val="6"/>
                <c:pt idx="0">
                  <c:v>3</c:v>
                </c:pt>
                <c:pt idx="4">
                  <c:v>1</c:v>
                </c:pt>
              </c:numCache>
            </c:numRef>
          </c:val>
          <c:extLst>
            <c:ext xmlns:c16="http://schemas.microsoft.com/office/drawing/2014/chart" uri="{C3380CC4-5D6E-409C-BE32-E72D297353CC}">
              <c16:uniqueId val="{00000004-050A-44CD-B69C-170FA743F7D7}"/>
            </c:ext>
          </c:extLst>
        </c:ser>
        <c:ser>
          <c:idx val="5"/>
          <c:order val="5"/>
          <c:tx>
            <c:strRef>
              <c:f>constituency_master!$Q$12:$Q$13</c:f>
              <c:strCache>
                <c:ptCount val="1"/>
                <c:pt idx="0">
                  <c:v>TVK</c:v>
                </c:pt>
              </c:strCache>
            </c:strRef>
          </c:tx>
          <c:spPr>
            <a:solidFill>
              <a:srgbClr val="92D05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constituency_master!$Q$14:$Q$20</c:f>
              <c:numCache>
                <c:formatCode>General</c:formatCode>
                <c:ptCount val="6"/>
                <c:pt idx="0">
                  <c:v>12</c:v>
                </c:pt>
                <c:pt idx="1">
                  <c:v>29</c:v>
                </c:pt>
                <c:pt idx="2">
                  <c:v>10</c:v>
                </c:pt>
                <c:pt idx="3">
                  <c:v>16</c:v>
                </c:pt>
                <c:pt idx="4">
                  <c:v>15</c:v>
                </c:pt>
                <c:pt idx="5">
                  <c:v>26</c:v>
                </c:pt>
              </c:numCache>
            </c:numRef>
          </c:val>
          <c:extLst>
            <c:ext xmlns:c16="http://schemas.microsoft.com/office/drawing/2014/chart" uri="{C3380CC4-5D6E-409C-BE32-E72D297353CC}">
              <c16:uniqueId val="{00000005-050A-44CD-B69C-170FA743F7D7}"/>
            </c:ext>
          </c:extLst>
        </c:ser>
        <c:dLbls>
          <c:showLegendKey val="0"/>
          <c:showVal val="0"/>
          <c:showCatName val="0"/>
          <c:showSerName val="0"/>
          <c:showPercent val="0"/>
          <c:showBubbleSize val="0"/>
        </c:dLbls>
        <c:gapWidth val="150"/>
        <c:overlap val="100"/>
        <c:axId val="1090212639"/>
        <c:axId val="1090214079"/>
      </c:barChart>
      <c:catAx>
        <c:axId val="1090212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214079"/>
        <c:crosses val="autoZero"/>
        <c:auto val="1"/>
        <c:lblAlgn val="ctr"/>
        <c:lblOffset val="100"/>
        <c:noMultiLvlLbl val="0"/>
      </c:catAx>
      <c:valAx>
        <c:axId val="1090214079"/>
        <c:scaling>
          <c:orientation val="minMax"/>
          <c:max val="6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2126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 1.xlsm]constituency_master!PivotTable1</c:name>
    <c:fmtId val="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800" b="1">
                <a:latin typeface="Aptos" panose="020B0004020202020204" pitchFamily="34" charset="0"/>
              </a:rPr>
              <a:t>Before TVK Surge (2021)</a:t>
            </a:r>
          </a:p>
        </c:rich>
      </c:tx>
      <c:layout>
        <c:manualLayout>
          <c:xMode val="edge"/>
          <c:yMode val="edge"/>
          <c:x val="0.30608102614035321"/>
          <c:y val="0"/>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752033457650145E-2"/>
          <c:y val="8.5003453515678964E-2"/>
          <c:w val="0.93281498232557747"/>
          <c:h val="0.7437886448404476"/>
        </c:manualLayout>
      </c:layout>
      <c:barChart>
        <c:barDir val="col"/>
        <c:grouping val="stacked"/>
        <c:varyColors val="0"/>
        <c:ser>
          <c:idx val="0"/>
          <c:order val="0"/>
          <c:tx>
            <c:strRef>
              <c:f>constituency_master!$L$2:$L$3</c:f>
              <c:strCache>
                <c:ptCount val="1"/>
                <c:pt idx="0">
                  <c:v>AIADMK</c:v>
                </c:pt>
              </c:strCache>
            </c:strRef>
          </c:tx>
          <c:spPr>
            <a:solidFill>
              <a:srgbClr val="0070C0"/>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constituency_master!$L$4:$L$10</c:f>
              <c:numCache>
                <c:formatCode>General</c:formatCode>
                <c:ptCount val="6"/>
                <c:pt idx="0">
                  <c:v>15</c:v>
                </c:pt>
                <c:pt idx="2">
                  <c:v>4</c:v>
                </c:pt>
                <c:pt idx="3">
                  <c:v>19</c:v>
                </c:pt>
                <c:pt idx="4">
                  <c:v>12</c:v>
                </c:pt>
                <c:pt idx="5">
                  <c:v>16</c:v>
                </c:pt>
              </c:numCache>
            </c:numRef>
          </c:val>
          <c:extLst>
            <c:ext xmlns:c16="http://schemas.microsoft.com/office/drawing/2014/chart" uri="{C3380CC4-5D6E-409C-BE32-E72D297353CC}">
              <c16:uniqueId val="{00000000-6AE5-4F16-A32D-D17281665DFE}"/>
            </c:ext>
          </c:extLst>
        </c:ser>
        <c:ser>
          <c:idx val="1"/>
          <c:order val="1"/>
          <c:tx>
            <c:strRef>
              <c:f>constituency_master!$M$2:$M$3</c:f>
              <c:strCache>
                <c:ptCount val="1"/>
                <c:pt idx="0">
                  <c:v>DMK</c:v>
                </c:pt>
              </c:strCache>
            </c:strRef>
          </c:tx>
          <c:spPr>
            <a:solidFill>
              <a:srgbClr val="C00000"/>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constituency_master!$M$4:$M$10</c:f>
              <c:numCache>
                <c:formatCode>General</c:formatCode>
                <c:ptCount val="6"/>
                <c:pt idx="0">
                  <c:v>21</c:v>
                </c:pt>
                <c:pt idx="1">
                  <c:v>29</c:v>
                </c:pt>
                <c:pt idx="2">
                  <c:v>23</c:v>
                </c:pt>
                <c:pt idx="3">
                  <c:v>10</c:v>
                </c:pt>
                <c:pt idx="4">
                  <c:v>19</c:v>
                </c:pt>
                <c:pt idx="5">
                  <c:v>31</c:v>
                </c:pt>
              </c:numCache>
            </c:numRef>
          </c:val>
          <c:extLst>
            <c:ext xmlns:c16="http://schemas.microsoft.com/office/drawing/2014/chart" uri="{C3380CC4-5D6E-409C-BE32-E72D297353CC}">
              <c16:uniqueId val="{00000001-6AE5-4F16-A32D-D17281665DFE}"/>
            </c:ext>
          </c:extLst>
        </c:ser>
        <c:ser>
          <c:idx val="2"/>
          <c:order val="2"/>
          <c:tx>
            <c:strRef>
              <c:f>constituency_master!$N$2:$N$3</c:f>
              <c:strCache>
                <c:ptCount val="1"/>
                <c:pt idx="0">
                  <c:v>INC</c:v>
                </c:pt>
              </c:strCache>
            </c:strRef>
          </c:tx>
          <c:spPr>
            <a:solidFill>
              <a:schemeClr val="bg2">
                <a:lumMod val="75000"/>
              </a:schemeClr>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constituency_master!$N$4:$N$10</c:f>
              <c:numCache>
                <c:formatCode>General</c:formatCode>
                <c:ptCount val="6"/>
                <c:pt idx="0">
                  <c:v>1</c:v>
                </c:pt>
                <c:pt idx="1">
                  <c:v>3</c:v>
                </c:pt>
                <c:pt idx="2">
                  <c:v>2</c:v>
                </c:pt>
                <c:pt idx="3">
                  <c:v>2</c:v>
                </c:pt>
                <c:pt idx="4">
                  <c:v>1</c:v>
                </c:pt>
                <c:pt idx="5">
                  <c:v>9</c:v>
                </c:pt>
              </c:numCache>
            </c:numRef>
          </c:val>
          <c:extLst>
            <c:ext xmlns:c16="http://schemas.microsoft.com/office/drawing/2014/chart" uri="{C3380CC4-5D6E-409C-BE32-E72D297353CC}">
              <c16:uniqueId val="{00000002-6AE5-4F16-A32D-D17281665DFE}"/>
            </c:ext>
          </c:extLst>
        </c:ser>
        <c:ser>
          <c:idx val="3"/>
          <c:order val="3"/>
          <c:tx>
            <c:strRef>
              <c:f>constituency_master!$O$2:$O$3</c:f>
              <c:strCache>
                <c:ptCount val="1"/>
                <c:pt idx="0">
                  <c:v>Others</c:v>
                </c:pt>
              </c:strCache>
            </c:strRef>
          </c:tx>
          <c:spPr>
            <a:solidFill>
              <a:srgbClr val="FFC000"/>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constituency_master!$O$4:$O$10</c:f>
              <c:numCache>
                <c:formatCode>General</c:formatCode>
                <c:ptCount val="6"/>
                <c:pt idx="0">
                  <c:v>1</c:v>
                </c:pt>
                <c:pt idx="2">
                  <c:v>4</c:v>
                </c:pt>
                <c:pt idx="3">
                  <c:v>2</c:v>
                </c:pt>
                <c:pt idx="4">
                  <c:v>3</c:v>
                </c:pt>
                <c:pt idx="5">
                  <c:v>2</c:v>
                </c:pt>
              </c:numCache>
            </c:numRef>
          </c:val>
          <c:extLst>
            <c:ext xmlns:c16="http://schemas.microsoft.com/office/drawing/2014/chart" uri="{C3380CC4-5D6E-409C-BE32-E72D297353CC}">
              <c16:uniqueId val="{00000003-6AE5-4F16-A32D-D17281665DFE}"/>
            </c:ext>
          </c:extLst>
        </c:ser>
        <c:ser>
          <c:idx val="4"/>
          <c:order val="4"/>
          <c:tx>
            <c:strRef>
              <c:f>constituency_master!$P$2:$P$3</c:f>
              <c:strCache>
                <c:ptCount val="1"/>
                <c:pt idx="0">
                  <c:v>PMK</c:v>
                </c:pt>
              </c:strCache>
            </c:strRef>
          </c:tx>
          <c:spPr>
            <a:solidFill>
              <a:schemeClr val="accent5"/>
            </a:solidFill>
            <a:ln>
              <a:noFill/>
            </a:ln>
            <a:effectLst/>
          </c:spPr>
          <c:invertIfNegative val="0"/>
          <c:cat>
            <c:strRef>
              <c:f>constituency_master!$K$4:$K$10</c:f>
              <c:strCache>
                <c:ptCount val="6"/>
                <c:pt idx="0">
                  <c:v>Central</c:v>
                </c:pt>
                <c:pt idx="1">
                  <c:v>Chennai Metro</c:v>
                </c:pt>
                <c:pt idx="2">
                  <c:v>Delta</c:v>
                </c:pt>
                <c:pt idx="3">
                  <c:v>Kongu</c:v>
                </c:pt>
                <c:pt idx="4">
                  <c:v>North</c:v>
                </c:pt>
                <c:pt idx="5">
                  <c:v>South</c:v>
                </c:pt>
              </c:strCache>
            </c:strRef>
          </c:cat>
          <c:val>
            <c:numRef>
              <c:f>constituency_master!$P$4:$P$10</c:f>
              <c:numCache>
                <c:formatCode>General</c:formatCode>
                <c:ptCount val="6"/>
                <c:pt idx="0">
                  <c:v>3</c:v>
                </c:pt>
                <c:pt idx="4">
                  <c:v>2</c:v>
                </c:pt>
              </c:numCache>
            </c:numRef>
          </c:val>
          <c:extLst>
            <c:ext xmlns:c16="http://schemas.microsoft.com/office/drawing/2014/chart" uri="{C3380CC4-5D6E-409C-BE32-E72D297353CC}">
              <c16:uniqueId val="{00000004-6AE5-4F16-A32D-D17281665DFE}"/>
            </c:ext>
          </c:extLst>
        </c:ser>
        <c:dLbls>
          <c:showLegendKey val="0"/>
          <c:showVal val="0"/>
          <c:showCatName val="0"/>
          <c:showSerName val="0"/>
          <c:showPercent val="0"/>
          <c:showBubbleSize val="0"/>
        </c:dLbls>
        <c:gapWidth val="150"/>
        <c:overlap val="100"/>
        <c:axId val="1080793343"/>
        <c:axId val="1080793823"/>
      </c:barChart>
      <c:catAx>
        <c:axId val="1080793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080793823"/>
        <c:crosses val="autoZero"/>
        <c:auto val="1"/>
        <c:lblAlgn val="ctr"/>
        <c:lblOffset val="100"/>
        <c:noMultiLvlLbl val="0"/>
      </c:catAx>
      <c:valAx>
        <c:axId val="1080793823"/>
        <c:scaling>
          <c:orientation val="minMax"/>
          <c:max val="6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080793343"/>
        <c:crosses val="autoZero"/>
        <c:crossBetween val="between"/>
      </c:valAx>
      <c:spPr>
        <a:noFill/>
        <a:ln>
          <a:noFill/>
        </a:ln>
        <a:effectLst/>
      </c:spPr>
    </c:plotArea>
    <c:legend>
      <c:legendPos val="b"/>
      <c:layout>
        <c:manualLayout>
          <c:xMode val="edge"/>
          <c:yMode val="edge"/>
          <c:x val="0.21014179731213389"/>
          <c:y val="0.94644149744439843"/>
          <c:w val="0.5797161938326737"/>
          <c:h val="4.8089791407652988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 1.xlsm]constituency_master!PivotTable2</c:name>
    <c:fmtId val="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800" b="1">
                <a:latin typeface="Aptos" panose="020B0004020202020204" pitchFamily="34" charset="0"/>
              </a:rPr>
              <a:t>After TVK Emergence (2026)</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00B050"/>
          </a:solidFill>
          <a:ln>
            <a:noFill/>
          </a:ln>
          <a:effectLst/>
        </c:spPr>
      </c:pivotFmt>
      <c:pivotFmt>
        <c:idx val="31"/>
        <c:spPr>
          <a:solidFill>
            <a:srgbClr val="00B050"/>
          </a:solidFill>
          <a:ln>
            <a:noFill/>
          </a:ln>
          <a:effectLst/>
        </c:spPr>
      </c:pivotFmt>
      <c:pivotFmt>
        <c:idx val="32"/>
        <c:spPr>
          <a:solidFill>
            <a:srgbClr val="00B050"/>
          </a:solidFill>
          <a:ln>
            <a:noFill/>
          </a:ln>
          <a:effectLst/>
        </c:spPr>
      </c:pivotFmt>
      <c:pivotFmt>
        <c:idx val="33"/>
        <c:spPr>
          <a:solidFill>
            <a:srgbClr val="00B050"/>
          </a:solidFill>
          <a:ln>
            <a:noFill/>
          </a:ln>
          <a:effectLst/>
        </c:spPr>
      </c:pivotFmt>
      <c:pivotFmt>
        <c:idx val="34"/>
        <c:spPr>
          <a:solidFill>
            <a:srgbClr val="00B050"/>
          </a:solidFill>
          <a:ln>
            <a:noFill/>
          </a:ln>
          <a:effectLst/>
        </c:spPr>
      </c:pivotFmt>
    </c:pivotFmts>
    <c:plotArea>
      <c:layout>
        <c:manualLayout>
          <c:layoutTarget val="inner"/>
          <c:xMode val="edge"/>
          <c:yMode val="edge"/>
          <c:x val="5.8665222437273429E-2"/>
          <c:y val="0.1044206989920998"/>
          <c:w val="0.94133486254236709"/>
          <c:h val="0.72880265154987134"/>
        </c:manualLayout>
      </c:layout>
      <c:barChart>
        <c:barDir val="col"/>
        <c:grouping val="stacked"/>
        <c:varyColors val="0"/>
        <c:ser>
          <c:idx val="0"/>
          <c:order val="0"/>
          <c:tx>
            <c:strRef>
              <c:f>constituency_master!$L$12:$L$13</c:f>
              <c:strCache>
                <c:ptCount val="1"/>
                <c:pt idx="0">
                  <c:v>AIADMK</c:v>
                </c:pt>
              </c:strCache>
            </c:strRef>
          </c:tx>
          <c:spPr>
            <a:solidFill>
              <a:srgbClr val="0070C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constituency_master!$L$14:$L$20</c:f>
              <c:numCache>
                <c:formatCode>General</c:formatCode>
                <c:ptCount val="6"/>
                <c:pt idx="0">
                  <c:v>15</c:v>
                </c:pt>
                <c:pt idx="1">
                  <c:v>1</c:v>
                </c:pt>
                <c:pt idx="2">
                  <c:v>4</c:v>
                </c:pt>
                <c:pt idx="3">
                  <c:v>7</c:v>
                </c:pt>
                <c:pt idx="4">
                  <c:v>15</c:v>
                </c:pt>
                <c:pt idx="5">
                  <c:v>5</c:v>
                </c:pt>
              </c:numCache>
            </c:numRef>
          </c:val>
          <c:extLst>
            <c:ext xmlns:c16="http://schemas.microsoft.com/office/drawing/2014/chart" uri="{C3380CC4-5D6E-409C-BE32-E72D297353CC}">
              <c16:uniqueId val="{00000000-7BC0-463A-A5F7-4168CD1FD32E}"/>
            </c:ext>
          </c:extLst>
        </c:ser>
        <c:ser>
          <c:idx val="1"/>
          <c:order val="1"/>
          <c:tx>
            <c:strRef>
              <c:f>constituency_master!$M$12:$M$13</c:f>
              <c:strCache>
                <c:ptCount val="1"/>
                <c:pt idx="0">
                  <c:v>DMK</c:v>
                </c:pt>
              </c:strCache>
            </c:strRef>
          </c:tx>
          <c:spPr>
            <a:solidFill>
              <a:srgbClr val="C0000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constituency_master!$M$14:$M$20</c:f>
              <c:numCache>
                <c:formatCode>General</c:formatCode>
                <c:ptCount val="6"/>
                <c:pt idx="0">
                  <c:v>8</c:v>
                </c:pt>
                <c:pt idx="1">
                  <c:v>2</c:v>
                </c:pt>
                <c:pt idx="2">
                  <c:v>14</c:v>
                </c:pt>
                <c:pt idx="3">
                  <c:v>9</c:v>
                </c:pt>
                <c:pt idx="4">
                  <c:v>4</c:v>
                </c:pt>
                <c:pt idx="5">
                  <c:v>22</c:v>
                </c:pt>
              </c:numCache>
            </c:numRef>
          </c:val>
          <c:extLst>
            <c:ext xmlns:c16="http://schemas.microsoft.com/office/drawing/2014/chart" uri="{C3380CC4-5D6E-409C-BE32-E72D297353CC}">
              <c16:uniqueId val="{00000001-7BC0-463A-A5F7-4168CD1FD32E}"/>
            </c:ext>
          </c:extLst>
        </c:ser>
        <c:ser>
          <c:idx val="2"/>
          <c:order val="2"/>
          <c:tx>
            <c:strRef>
              <c:f>constituency_master!$N$12:$N$13</c:f>
              <c:strCache>
                <c:ptCount val="1"/>
                <c:pt idx="0">
                  <c:v>INC</c:v>
                </c:pt>
              </c:strCache>
            </c:strRef>
          </c:tx>
          <c:spPr>
            <a:solidFill>
              <a:schemeClr val="bg2">
                <a:lumMod val="75000"/>
              </a:schemeClr>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constituency_master!$N$14:$N$20</c:f>
              <c:numCache>
                <c:formatCode>General</c:formatCode>
                <c:ptCount val="6"/>
                <c:pt idx="2">
                  <c:v>1</c:v>
                </c:pt>
                <c:pt idx="5">
                  <c:v>4</c:v>
                </c:pt>
              </c:numCache>
            </c:numRef>
          </c:val>
          <c:extLst>
            <c:ext xmlns:c16="http://schemas.microsoft.com/office/drawing/2014/chart" uri="{C3380CC4-5D6E-409C-BE32-E72D297353CC}">
              <c16:uniqueId val="{00000002-7BC0-463A-A5F7-4168CD1FD32E}"/>
            </c:ext>
          </c:extLst>
        </c:ser>
        <c:ser>
          <c:idx val="3"/>
          <c:order val="3"/>
          <c:tx>
            <c:strRef>
              <c:f>constituency_master!$O$12:$O$13</c:f>
              <c:strCache>
                <c:ptCount val="1"/>
                <c:pt idx="0">
                  <c:v>Others</c:v>
                </c:pt>
              </c:strCache>
            </c:strRef>
          </c:tx>
          <c:spPr>
            <a:solidFill>
              <a:srgbClr val="FFC00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constituency_master!$O$14:$O$20</c:f>
              <c:numCache>
                <c:formatCode>General</c:formatCode>
                <c:ptCount val="6"/>
                <c:pt idx="0">
                  <c:v>3</c:v>
                </c:pt>
                <c:pt idx="2">
                  <c:v>4</c:v>
                </c:pt>
                <c:pt idx="3">
                  <c:v>1</c:v>
                </c:pt>
                <c:pt idx="4">
                  <c:v>2</c:v>
                </c:pt>
                <c:pt idx="5">
                  <c:v>1</c:v>
                </c:pt>
              </c:numCache>
            </c:numRef>
          </c:val>
          <c:extLst>
            <c:ext xmlns:c16="http://schemas.microsoft.com/office/drawing/2014/chart" uri="{C3380CC4-5D6E-409C-BE32-E72D297353CC}">
              <c16:uniqueId val="{00000003-7BC0-463A-A5F7-4168CD1FD32E}"/>
            </c:ext>
          </c:extLst>
        </c:ser>
        <c:ser>
          <c:idx val="4"/>
          <c:order val="4"/>
          <c:tx>
            <c:strRef>
              <c:f>constituency_master!$P$12:$P$13</c:f>
              <c:strCache>
                <c:ptCount val="1"/>
                <c:pt idx="0">
                  <c:v>PMK</c:v>
                </c:pt>
              </c:strCache>
            </c:strRef>
          </c:tx>
          <c:spPr>
            <a:solidFill>
              <a:srgbClr val="7030A0"/>
            </a:solidFill>
            <a:ln>
              <a:noFill/>
            </a:ln>
            <a:effectLst/>
          </c:spPr>
          <c:invertIfNegative val="0"/>
          <c:cat>
            <c:strRef>
              <c:f>constituency_master!$K$14:$K$20</c:f>
              <c:strCache>
                <c:ptCount val="6"/>
                <c:pt idx="0">
                  <c:v>Central</c:v>
                </c:pt>
                <c:pt idx="1">
                  <c:v>Chennai Metro</c:v>
                </c:pt>
                <c:pt idx="2">
                  <c:v>Delta</c:v>
                </c:pt>
                <c:pt idx="3">
                  <c:v>Kongu</c:v>
                </c:pt>
                <c:pt idx="4">
                  <c:v>North</c:v>
                </c:pt>
                <c:pt idx="5">
                  <c:v>South</c:v>
                </c:pt>
              </c:strCache>
            </c:strRef>
          </c:cat>
          <c:val>
            <c:numRef>
              <c:f>constituency_master!$P$14:$P$20</c:f>
              <c:numCache>
                <c:formatCode>General</c:formatCode>
                <c:ptCount val="6"/>
                <c:pt idx="0">
                  <c:v>3</c:v>
                </c:pt>
                <c:pt idx="4">
                  <c:v>1</c:v>
                </c:pt>
              </c:numCache>
            </c:numRef>
          </c:val>
          <c:extLst>
            <c:ext xmlns:c16="http://schemas.microsoft.com/office/drawing/2014/chart" uri="{C3380CC4-5D6E-409C-BE32-E72D297353CC}">
              <c16:uniqueId val="{00000004-7BC0-463A-A5F7-4168CD1FD32E}"/>
            </c:ext>
          </c:extLst>
        </c:ser>
        <c:ser>
          <c:idx val="5"/>
          <c:order val="5"/>
          <c:tx>
            <c:strRef>
              <c:f>constituency_master!$Q$12:$Q$13</c:f>
              <c:strCache>
                <c:ptCount val="1"/>
                <c:pt idx="0">
                  <c:v>TVK</c:v>
                </c:pt>
              </c:strCache>
            </c:strRef>
          </c:tx>
          <c:spPr>
            <a:solidFill>
              <a:srgbClr val="00B050"/>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8-7BC0-463A-A5F7-4168CD1FD32E}"/>
              </c:ext>
            </c:extLst>
          </c:dPt>
          <c:dPt>
            <c:idx val="2"/>
            <c:invertIfNegative val="0"/>
            <c:bubble3D val="0"/>
            <c:spPr>
              <a:solidFill>
                <a:srgbClr val="00B050"/>
              </a:solidFill>
              <a:ln>
                <a:noFill/>
              </a:ln>
              <a:effectLst/>
            </c:spPr>
            <c:extLst>
              <c:ext xmlns:c16="http://schemas.microsoft.com/office/drawing/2014/chart" uri="{C3380CC4-5D6E-409C-BE32-E72D297353CC}">
                <c16:uniqueId val="{00000006-7BC0-463A-A5F7-4168CD1FD32E}"/>
              </c:ext>
            </c:extLst>
          </c:dPt>
          <c:dPt>
            <c:idx val="3"/>
            <c:invertIfNegative val="0"/>
            <c:bubble3D val="0"/>
            <c:spPr>
              <a:solidFill>
                <a:srgbClr val="00B050"/>
              </a:solidFill>
              <a:ln>
                <a:noFill/>
              </a:ln>
              <a:effectLst/>
            </c:spPr>
            <c:extLst>
              <c:ext xmlns:c16="http://schemas.microsoft.com/office/drawing/2014/chart" uri="{C3380CC4-5D6E-409C-BE32-E72D297353CC}">
                <c16:uniqueId val="{00000009-7BC0-463A-A5F7-4168CD1FD32E}"/>
              </c:ext>
            </c:extLst>
          </c:dPt>
          <c:dPt>
            <c:idx val="4"/>
            <c:invertIfNegative val="0"/>
            <c:bubble3D val="0"/>
            <c:spPr>
              <a:solidFill>
                <a:srgbClr val="00B050"/>
              </a:solidFill>
              <a:ln>
                <a:noFill/>
              </a:ln>
              <a:effectLst/>
            </c:spPr>
            <c:extLst>
              <c:ext xmlns:c16="http://schemas.microsoft.com/office/drawing/2014/chart" uri="{C3380CC4-5D6E-409C-BE32-E72D297353CC}">
                <c16:uniqueId val="{00000007-7BC0-463A-A5F7-4168CD1FD32E}"/>
              </c:ext>
            </c:extLst>
          </c:dPt>
          <c:dPt>
            <c:idx val="5"/>
            <c:invertIfNegative val="0"/>
            <c:bubble3D val="0"/>
            <c:spPr>
              <a:solidFill>
                <a:srgbClr val="00B050"/>
              </a:solidFill>
              <a:ln>
                <a:noFill/>
              </a:ln>
              <a:effectLst/>
            </c:spPr>
            <c:extLst>
              <c:ext xmlns:c16="http://schemas.microsoft.com/office/drawing/2014/chart" uri="{C3380CC4-5D6E-409C-BE32-E72D297353CC}">
                <c16:uniqueId val="{00000000-0A21-4FD0-82B0-3F7DBBE0FAC6}"/>
              </c:ext>
            </c:extLst>
          </c:dPt>
          <c:cat>
            <c:strRef>
              <c:f>constituency_master!$K$14:$K$20</c:f>
              <c:strCache>
                <c:ptCount val="6"/>
                <c:pt idx="0">
                  <c:v>Central</c:v>
                </c:pt>
                <c:pt idx="1">
                  <c:v>Chennai Metro</c:v>
                </c:pt>
                <c:pt idx="2">
                  <c:v>Delta</c:v>
                </c:pt>
                <c:pt idx="3">
                  <c:v>Kongu</c:v>
                </c:pt>
                <c:pt idx="4">
                  <c:v>North</c:v>
                </c:pt>
                <c:pt idx="5">
                  <c:v>South</c:v>
                </c:pt>
              </c:strCache>
            </c:strRef>
          </c:cat>
          <c:val>
            <c:numRef>
              <c:f>constituency_master!$Q$14:$Q$20</c:f>
              <c:numCache>
                <c:formatCode>General</c:formatCode>
                <c:ptCount val="6"/>
                <c:pt idx="0">
                  <c:v>12</c:v>
                </c:pt>
                <c:pt idx="1">
                  <c:v>29</c:v>
                </c:pt>
                <c:pt idx="2">
                  <c:v>10</c:v>
                </c:pt>
                <c:pt idx="3">
                  <c:v>16</c:v>
                </c:pt>
                <c:pt idx="4">
                  <c:v>15</c:v>
                </c:pt>
                <c:pt idx="5">
                  <c:v>26</c:v>
                </c:pt>
              </c:numCache>
            </c:numRef>
          </c:val>
          <c:extLst>
            <c:ext xmlns:c16="http://schemas.microsoft.com/office/drawing/2014/chart" uri="{C3380CC4-5D6E-409C-BE32-E72D297353CC}">
              <c16:uniqueId val="{00000005-7BC0-463A-A5F7-4168CD1FD32E}"/>
            </c:ext>
          </c:extLst>
        </c:ser>
        <c:dLbls>
          <c:showLegendKey val="0"/>
          <c:showVal val="0"/>
          <c:showCatName val="0"/>
          <c:showSerName val="0"/>
          <c:showPercent val="0"/>
          <c:showBubbleSize val="0"/>
        </c:dLbls>
        <c:gapWidth val="150"/>
        <c:overlap val="100"/>
        <c:axId val="1090212639"/>
        <c:axId val="1090214079"/>
      </c:barChart>
      <c:catAx>
        <c:axId val="109021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090214079"/>
        <c:crosses val="autoZero"/>
        <c:auto val="1"/>
        <c:lblAlgn val="ctr"/>
        <c:lblOffset val="100"/>
        <c:noMultiLvlLbl val="0"/>
      </c:catAx>
      <c:valAx>
        <c:axId val="1090214079"/>
        <c:scaling>
          <c:orientation val="minMax"/>
          <c:max val="6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1090212639"/>
        <c:crosses val="autoZero"/>
        <c:crossBetween val="between"/>
      </c:valAx>
      <c:spPr>
        <a:noFill/>
        <a:ln w="25400">
          <a:noFill/>
        </a:ln>
        <a:effectLst/>
      </c:spPr>
    </c:plotArea>
    <c:legend>
      <c:legendPos val="b"/>
      <c:layout>
        <c:manualLayout>
          <c:xMode val="edge"/>
          <c:yMode val="edge"/>
          <c:x val="0.14757284584874203"/>
          <c:y val="0.94280110246786986"/>
          <c:w val="0.7048540884137533"/>
          <c:h val="5.7198897532130158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9</xdr:col>
      <xdr:colOff>129540</xdr:colOff>
      <xdr:row>21</xdr:row>
      <xdr:rowOff>156210</xdr:rowOff>
    </xdr:from>
    <xdr:to>
      <xdr:col>18</xdr:col>
      <xdr:colOff>22860</xdr:colOff>
      <xdr:row>36</xdr:row>
      <xdr:rowOff>156210</xdr:rowOff>
    </xdr:to>
    <xdr:graphicFrame macro="">
      <xdr:nvGraphicFramePr>
        <xdr:cNvPr id="3" name="Chart 2">
          <a:extLst>
            <a:ext uri="{FF2B5EF4-FFF2-40B4-BE49-F238E27FC236}">
              <a16:creationId xmlns:a16="http://schemas.microsoft.com/office/drawing/2014/main" id="{6667B446-EE71-E004-5958-BF34567DBE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37</xdr:row>
      <xdr:rowOff>156210</xdr:rowOff>
    </xdr:from>
    <xdr:to>
      <xdr:col>18</xdr:col>
      <xdr:colOff>68580</xdr:colOff>
      <xdr:row>52</xdr:row>
      <xdr:rowOff>156210</xdr:rowOff>
    </xdr:to>
    <xdr:graphicFrame macro="">
      <xdr:nvGraphicFramePr>
        <xdr:cNvPr id="4" name="Chart 3">
          <a:extLst>
            <a:ext uri="{FF2B5EF4-FFF2-40B4-BE49-F238E27FC236}">
              <a16:creationId xmlns:a16="http://schemas.microsoft.com/office/drawing/2014/main" id="{4535D7FB-734C-6852-FA94-7A229683B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381000</xdr:colOff>
      <xdr:row>5</xdr:row>
      <xdr:rowOff>15240</xdr:rowOff>
    </xdr:from>
    <xdr:to>
      <xdr:col>9</xdr:col>
      <xdr:colOff>259080</xdr:colOff>
      <xdr:row>23</xdr:row>
      <xdr:rowOff>53340</xdr:rowOff>
    </xdr:to>
    <xdr:graphicFrame macro="">
      <xdr:nvGraphicFramePr>
        <xdr:cNvPr id="3" name="Chart 2">
          <a:extLst>
            <a:ext uri="{FF2B5EF4-FFF2-40B4-BE49-F238E27FC236}">
              <a16:creationId xmlns:a16="http://schemas.microsoft.com/office/drawing/2014/main" id="{0921547A-9569-4DB1-BFCB-16B197029A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5</xdr:row>
      <xdr:rowOff>0</xdr:rowOff>
    </xdr:from>
    <xdr:to>
      <xdr:col>17</xdr:col>
      <xdr:colOff>304800</xdr:colOff>
      <xdr:row>23</xdr:row>
      <xdr:rowOff>30480</xdr:rowOff>
    </xdr:to>
    <xdr:graphicFrame macro="">
      <xdr:nvGraphicFramePr>
        <xdr:cNvPr id="5" name="Chart 4">
          <a:extLst>
            <a:ext uri="{FF2B5EF4-FFF2-40B4-BE49-F238E27FC236}">
              <a16:creationId xmlns:a16="http://schemas.microsoft.com/office/drawing/2014/main" id="{D9429459-2310-4CF5-A288-2EB4E84E4B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182879</xdr:rowOff>
    </xdr:from>
    <xdr:to>
      <xdr:col>17</xdr:col>
      <xdr:colOff>541020</xdr:colOff>
      <xdr:row>23</xdr:row>
      <xdr:rowOff>144779</xdr:rowOff>
    </xdr:to>
    <xdr:grpSp>
      <xdr:nvGrpSpPr>
        <xdr:cNvPr id="2" name="Group 1">
          <a:extLst>
            <a:ext uri="{FF2B5EF4-FFF2-40B4-BE49-F238E27FC236}">
              <a16:creationId xmlns:a16="http://schemas.microsoft.com/office/drawing/2014/main" id="{1A3776F5-BC43-F12E-0BCA-A415A6D96AC5}"/>
            </a:ext>
          </a:extLst>
        </xdr:cNvPr>
        <xdr:cNvGrpSpPr/>
      </xdr:nvGrpSpPr>
      <xdr:grpSpPr>
        <a:xfrm>
          <a:off x="1219200" y="731519"/>
          <a:ext cx="9685020" cy="3619500"/>
          <a:chOff x="1219200" y="731519"/>
          <a:chExt cx="9685020" cy="3619500"/>
        </a:xfrm>
      </xdr:grpSpPr>
      <xdr:graphicFrame macro="">
        <xdr:nvGraphicFramePr>
          <xdr:cNvPr id="3" name="Chart 2">
            <a:extLst>
              <a:ext uri="{FF2B5EF4-FFF2-40B4-BE49-F238E27FC236}">
                <a16:creationId xmlns:a16="http://schemas.microsoft.com/office/drawing/2014/main" id="{4274FB1D-C51E-4C35-A435-F6D17F8E7822}"/>
              </a:ext>
            </a:extLst>
          </xdr:cNvPr>
          <xdr:cNvGraphicFramePr>
            <a:graphicFrameLocks/>
          </xdr:cNvGraphicFramePr>
        </xdr:nvGraphicFramePr>
        <xdr:xfrm>
          <a:off x="1219200" y="731519"/>
          <a:ext cx="4857815" cy="36195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A230257B-2DDD-41A6-B4AD-674C91340C04}"/>
              </a:ext>
            </a:extLst>
          </xdr:cNvPr>
          <xdr:cNvGraphicFramePr>
            <a:graphicFrameLocks/>
          </xdr:cNvGraphicFramePr>
        </xdr:nvGraphicFramePr>
        <xdr:xfrm>
          <a:off x="6230780" y="731519"/>
          <a:ext cx="4673440" cy="3611171"/>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4.xml><?xml version="1.0" encoding="utf-8"?>
<c:userShapes xmlns:c="http://schemas.openxmlformats.org/drawingml/2006/chart">
  <cdr:relSizeAnchor xmlns:cdr="http://schemas.openxmlformats.org/drawingml/2006/chartDrawing">
    <cdr:from>
      <cdr:x>0.23367</cdr:x>
      <cdr:y>0.24266</cdr:y>
    </cdr:from>
    <cdr:to>
      <cdr:x>0.50922</cdr:x>
      <cdr:y>0.41569</cdr:y>
    </cdr:to>
    <cdr:sp macro="" textlink="">
      <cdr:nvSpPr>
        <cdr:cNvPr id="2" name="TextBox 1">
          <a:extLst xmlns:a="http://schemas.openxmlformats.org/drawingml/2006/main">
            <a:ext uri="{FF2B5EF4-FFF2-40B4-BE49-F238E27FC236}">
              <a16:creationId xmlns:a16="http://schemas.microsoft.com/office/drawing/2014/main" id="{36499BE4-3C08-F9F6-3C38-CB0F00F6CF33}"/>
            </a:ext>
          </a:extLst>
        </cdr:cNvPr>
        <cdr:cNvSpPr txBox="1"/>
      </cdr:nvSpPr>
      <cdr:spPr>
        <a:xfrm xmlns:a="http://schemas.openxmlformats.org/drawingml/2006/main">
          <a:off x="1092040" y="876301"/>
          <a:ext cx="1287780" cy="6248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0.08366</cdr:x>
      <cdr:y>0.20468</cdr:y>
    </cdr:from>
    <cdr:to>
      <cdr:x>0.50596</cdr:x>
      <cdr:y>0.31441</cdr:y>
    </cdr:to>
    <cdr:sp macro="" textlink="">
      <cdr:nvSpPr>
        <cdr:cNvPr id="3" name="TextBox 2">
          <a:extLst xmlns:a="http://schemas.openxmlformats.org/drawingml/2006/main">
            <a:ext uri="{FF2B5EF4-FFF2-40B4-BE49-F238E27FC236}">
              <a16:creationId xmlns:a16="http://schemas.microsoft.com/office/drawing/2014/main" id="{6BD9CC48-98BE-5F69-02D8-E655E3B9C082}"/>
            </a:ext>
          </a:extLst>
        </cdr:cNvPr>
        <cdr:cNvSpPr txBox="1"/>
      </cdr:nvSpPr>
      <cdr:spPr>
        <a:xfrm xmlns:a="http://schemas.openxmlformats.org/drawingml/2006/main">
          <a:off x="391000" y="739141"/>
          <a:ext cx="1973580" cy="39624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endParaRPr lang="en-IN" sz="1200" b="1">
            <a:solidFill>
              <a:schemeClr val="tx1"/>
            </a:solidFill>
            <a:latin typeface="Aptos" panose="020B0004020202020204" pitchFamily="34" charset="0"/>
          </a:endParaRP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IN" sz="1200" b="1">
              <a:solidFill>
                <a:schemeClr val="tx1"/>
              </a:solidFill>
              <a:latin typeface="Aptos" panose="020B0004020202020204" pitchFamily="34" charset="0"/>
            </a:rPr>
            <a:t>TVK became dominant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IN" sz="1200" b="1">
              <a:solidFill>
                <a:schemeClr val="tx1"/>
              </a:solidFill>
              <a:latin typeface="Aptos" panose="020B0004020202020204" pitchFamily="34" charset="0"/>
            </a:rPr>
            <a:t>in Chennai Metro</a:t>
          </a:r>
        </a:p>
        <a:p xmlns:a="http://schemas.openxmlformats.org/drawingml/2006/main">
          <a:endParaRPr lang="en-IN" sz="1200" b="1" kern="1200">
            <a:solidFill>
              <a:schemeClr val="tx1"/>
            </a:solidFill>
            <a:latin typeface="Aptos" panose="020B0004020202020204" pitchFamily="34" charset="0"/>
          </a:endParaRPr>
        </a:p>
      </cdr:txBody>
    </cdr:sp>
  </cdr:relSizeAnchor>
  <cdr:relSizeAnchor xmlns:cdr="http://schemas.openxmlformats.org/drawingml/2006/chartDrawing">
    <cdr:from>
      <cdr:x>0.18639</cdr:x>
      <cdr:y>0.19835</cdr:y>
    </cdr:from>
    <cdr:to>
      <cdr:x>0.63966</cdr:x>
      <cdr:y>0.3545</cdr:y>
    </cdr:to>
    <cdr:sp macro="" textlink="">
      <cdr:nvSpPr>
        <cdr:cNvPr id="4" name="TextBox 3">
          <a:extLst xmlns:a="http://schemas.openxmlformats.org/drawingml/2006/main">
            <a:ext uri="{FF2B5EF4-FFF2-40B4-BE49-F238E27FC236}">
              <a16:creationId xmlns:a16="http://schemas.microsoft.com/office/drawing/2014/main" id="{F4102F9F-3120-8F28-006B-B9B1D458A0C2}"/>
            </a:ext>
          </a:extLst>
        </cdr:cNvPr>
        <cdr:cNvSpPr txBox="1"/>
      </cdr:nvSpPr>
      <cdr:spPr>
        <a:xfrm xmlns:a="http://schemas.openxmlformats.org/drawingml/2006/main">
          <a:off x="871082" y="716276"/>
          <a:ext cx="2118338" cy="56388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200" b="1" kern="1200">
              <a:solidFill>
                <a:schemeClr val="tx1"/>
              </a:solidFill>
              <a:latin typeface="Aptos" panose="020B0004020202020204" pitchFamily="34" charset="0"/>
            </a:rPr>
            <a:t>TVk became</a:t>
          </a:r>
          <a:r>
            <a:rPr lang="en-IN" sz="1200" b="1" kern="1200" baseline="0">
              <a:solidFill>
                <a:schemeClr val="tx1"/>
              </a:solidFill>
              <a:latin typeface="Aptos" panose="020B0004020202020204" pitchFamily="34" charset="0"/>
            </a:rPr>
            <a:t> dominant in Chennai Metro</a:t>
          </a:r>
          <a:endParaRPr lang="en-IN" sz="1200" b="1" kern="1200">
            <a:solidFill>
              <a:schemeClr val="tx1"/>
            </a:solidFill>
            <a:latin typeface="Aptos" panose="020B0004020202020204" pitchFamily="34" charset="0"/>
          </a:endParaRPr>
        </a:p>
      </cdr:txBody>
    </cdr:sp>
  </cdr:relSizeAnchor>
  <cdr:relSizeAnchor xmlns:cdr="http://schemas.openxmlformats.org/drawingml/2006/chartDrawing">
    <cdr:from>
      <cdr:x>0.30052</cdr:x>
      <cdr:y>0.30597</cdr:y>
    </cdr:from>
    <cdr:to>
      <cdr:x>0.32498</cdr:x>
      <cdr:y>0.46634</cdr:y>
    </cdr:to>
    <cdr:cxnSp macro="">
      <cdr:nvCxnSpPr>
        <cdr:cNvPr id="13" name="Straight Arrow Connector 12">
          <a:extLst xmlns:a="http://schemas.openxmlformats.org/drawingml/2006/main">
            <a:ext uri="{FF2B5EF4-FFF2-40B4-BE49-F238E27FC236}">
              <a16:creationId xmlns:a16="http://schemas.microsoft.com/office/drawing/2014/main" id="{50FC6185-89DB-6120-1502-739E79B59FB9}"/>
            </a:ext>
          </a:extLst>
        </cdr:cNvPr>
        <cdr:cNvCxnSpPr/>
      </cdr:nvCxnSpPr>
      <cdr:spPr>
        <a:xfrm xmlns:a="http://schemas.openxmlformats.org/drawingml/2006/main" flipH="1">
          <a:off x="1404460" y="1104901"/>
          <a:ext cx="114300" cy="579120"/>
        </a:xfrm>
        <a:prstGeom xmlns:a="http://schemas.openxmlformats.org/drawingml/2006/main" prst="straightConnector1">
          <a:avLst/>
        </a:prstGeom>
        <a:ln xmlns:a="http://schemas.openxmlformats.org/drawingml/2006/main" w="19050">
          <a:solidFill>
            <a:schemeClr val="accent3">
              <a:lumMod val="50000"/>
              <a:alpha val="49000"/>
            </a:schemeClr>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D:\Code%20Basics\Tn%202026_results.xlsm" TargetMode="External"/><Relationship Id="rId1" Type="http://schemas.openxmlformats.org/officeDocument/2006/relationships/externalLinkPath" Target="Tn%202026_resul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ote_Share 2026"/>
      <sheetName val="tn_2026_results"/>
      <sheetName val="Turn Out"/>
    </sheetNames>
    <sheetDataSet>
      <sheetData sheetId="0"/>
      <sheetData sheetId="1"/>
      <sheetData sheetId="2">
        <row r="1">
          <cell r="B1" t="str">
            <v>Constituency</v>
          </cell>
          <cell r="C1" t="str">
            <v>District</v>
          </cell>
          <cell r="D1" t="str">
            <v>Turnout</v>
          </cell>
        </row>
        <row r="2">
          <cell r="B2" t="str">
            <v>Gummidipoondi</v>
          </cell>
          <cell r="C2" t="str">
            <v>Kanniyakumari</v>
          </cell>
          <cell r="D2">
            <v>0.90959999999999996</v>
          </cell>
        </row>
        <row r="3">
          <cell r="B3" t="str">
            <v>Ponneri</v>
          </cell>
          <cell r="C3" t="str">
            <v>Kanniyakumari</v>
          </cell>
          <cell r="D3">
            <v>0.89770000000000005</v>
          </cell>
        </row>
        <row r="4">
          <cell r="B4" t="str">
            <v>Tiruttani</v>
          </cell>
          <cell r="C4" t="str">
            <v>Kanniyakumari</v>
          </cell>
          <cell r="D4">
            <v>0.90229999999999999</v>
          </cell>
        </row>
        <row r="5">
          <cell r="B5" t="str">
            <v>Thiruvallur</v>
          </cell>
          <cell r="C5" t="str">
            <v>Kanniyakumari</v>
          </cell>
          <cell r="D5">
            <v>0.89510000000000001</v>
          </cell>
        </row>
        <row r="6">
          <cell r="B6" t="str">
            <v>Poonamallee</v>
          </cell>
          <cell r="C6" t="str">
            <v>Kanniyakumari</v>
          </cell>
          <cell r="D6">
            <v>0.83409999999999995</v>
          </cell>
        </row>
        <row r="7">
          <cell r="B7" t="str">
            <v>Avadi</v>
          </cell>
          <cell r="C7" t="str">
            <v>Kanniyakumari</v>
          </cell>
          <cell r="D7">
            <v>0.78810000000000002</v>
          </cell>
        </row>
        <row r="8">
          <cell r="B8" t="str">
            <v>Maduravoyal</v>
          </cell>
          <cell r="C8" t="str">
            <v>Tirunelveli</v>
          </cell>
          <cell r="D8">
            <v>0.78549999999999998</v>
          </cell>
        </row>
        <row r="9">
          <cell r="B9" t="str">
            <v>Ambattur</v>
          </cell>
          <cell r="C9" t="str">
            <v>Tirunelveli</v>
          </cell>
          <cell r="D9">
            <v>0.77039999999999997</v>
          </cell>
        </row>
        <row r="10">
          <cell r="B10" t="str">
            <v>Madhavaram</v>
          </cell>
          <cell r="C10" t="str">
            <v>Tirunelveli</v>
          </cell>
          <cell r="D10">
            <v>0.8347</v>
          </cell>
        </row>
        <row r="11">
          <cell r="B11" t="str">
            <v>Thiruvottiyur</v>
          </cell>
          <cell r="C11" t="str">
            <v>Tirunelveli</v>
          </cell>
          <cell r="D11">
            <v>0.84409999999999996</v>
          </cell>
        </row>
        <row r="12">
          <cell r="B12" t="str">
            <v>Dr. Radhakrishnan Nagar</v>
          </cell>
          <cell r="C12" t="str">
            <v>Tirunelveli</v>
          </cell>
          <cell r="D12">
            <v>0.90600000000000003</v>
          </cell>
        </row>
        <row r="13">
          <cell r="B13" t="str">
            <v>Perambur</v>
          </cell>
          <cell r="C13" t="str">
            <v>Tirunelveli</v>
          </cell>
          <cell r="D13">
            <v>0.89729999999999999</v>
          </cell>
        </row>
        <row r="14">
          <cell r="B14" t="str">
            <v>Kolathur</v>
          </cell>
          <cell r="C14" t="str">
            <v>Tirunelveli</v>
          </cell>
          <cell r="D14">
            <v>0.86109999999999998</v>
          </cell>
        </row>
        <row r="15">
          <cell r="B15" t="str">
            <v>Villivakkam</v>
          </cell>
          <cell r="C15" t="str">
            <v>Tirunelveli</v>
          </cell>
          <cell r="D15">
            <v>0.86</v>
          </cell>
        </row>
        <row r="16">
          <cell r="B16" t="str">
            <v>Thiru-Vi-Ka-Nagar</v>
          </cell>
          <cell r="C16" t="str">
            <v>Tirunelveli</v>
          </cell>
          <cell r="D16">
            <v>0.78700000000000003</v>
          </cell>
        </row>
        <row r="17">
          <cell r="B17" t="str">
            <v>Egmore</v>
          </cell>
          <cell r="C17" t="str">
            <v>Tirunelveli</v>
          </cell>
          <cell r="D17">
            <v>0.85550000000000004</v>
          </cell>
        </row>
        <row r="18">
          <cell r="B18" t="str">
            <v>Royapuram</v>
          </cell>
          <cell r="C18" t="str">
            <v>Thoothukudi</v>
          </cell>
          <cell r="D18">
            <v>0.79349999999999998</v>
          </cell>
        </row>
        <row r="19">
          <cell r="B19" t="str">
            <v>Harbour</v>
          </cell>
          <cell r="C19" t="str">
            <v>Thoothukudi</v>
          </cell>
          <cell r="D19">
            <v>0.82750000000000001</v>
          </cell>
        </row>
        <row r="20">
          <cell r="B20" t="str">
            <v>Chepauk-Thiruvallikeni</v>
          </cell>
          <cell r="C20" t="str">
            <v>Thoothukudi</v>
          </cell>
          <cell r="D20">
            <v>0.84340000000000004</v>
          </cell>
        </row>
        <row r="21">
          <cell r="B21" t="str">
            <v>Thousand Lights</v>
          </cell>
          <cell r="C21" t="str">
            <v>Thoothukudi</v>
          </cell>
          <cell r="D21">
            <v>0.83089999999999997</v>
          </cell>
        </row>
        <row r="22">
          <cell r="B22" t="str">
            <v>Anna Nagar</v>
          </cell>
          <cell r="C22" t="str">
            <v>Thoothukudi</v>
          </cell>
          <cell r="D22">
            <v>0.85650000000000004</v>
          </cell>
        </row>
        <row r="23">
          <cell r="B23" t="str">
            <v>Virugambakkam</v>
          </cell>
          <cell r="C23" t="str">
            <v>Thoothukudi</v>
          </cell>
          <cell r="D23">
            <v>0.85499999999999998</v>
          </cell>
        </row>
        <row r="24">
          <cell r="B24" t="str">
            <v>Saidapet</v>
          </cell>
          <cell r="C24" t="str">
            <v>Ramanathapuram</v>
          </cell>
          <cell r="D24">
            <v>0.77849999999999997</v>
          </cell>
        </row>
        <row r="25">
          <cell r="B25" t="str">
            <v>Thiyagarayanagar</v>
          </cell>
          <cell r="C25" t="str">
            <v>Ramanathapuram</v>
          </cell>
          <cell r="D25">
            <v>0.83550000000000002</v>
          </cell>
        </row>
        <row r="26">
          <cell r="B26" t="str">
            <v>Mylapore</v>
          </cell>
          <cell r="C26" t="str">
            <v>Ramanathapuram</v>
          </cell>
          <cell r="D26">
            <v>0.74890000000000001</v>
          </cell>
        </row>
        <row r="27">
          <cell r="B27" t="str">
            <v>Velachery</v>
          </cell>
          <cell r="C27" t="str">
            <v>Ramanathapuram</v>
          </cell>
          <cell r="D27">
            <v>0.84499999999999997</v>
          </cell>
        </row>
        <row r="28">
          <cell r="B28" t="str">
            <v>Sholinganallur</v>
          </cell>
          <cell r="C28" t="str">
            <v>Virudhunagar</v>
          </cell>
          <cell r="D28">
            <v>0.80459999999999998</v>
          </cell>
        </row>
        <row r="29">
          <cell r="B29" t="str">
            <v>Alandur</v>
          </cell>
          <cell r="C29" t="str">
            <v>Virudhunagar</v>
          </cell>
          <cell r="D29">
            <v>0.86150000000000004</v>
          </cell>
        </row>
        <row r="30">
          <cell r="B30" t="str">
            <v>Sriperumbudur</v>
          </cell>
          <cell r="C30" t="str">
            <v>Virudhunagar</v>
          </cell>
          <cell r="D30">
            <v>0.86119999999999997</v>
          </cell>
        </row>
        <row r="31">
          <cell r="B31" t="str">
            <v>Pallavaram</v>
          </cell>
          <cell r="C31" t="str">
            <v>Virudhunagar</v>
          </cell>
          <cell r="D31">
            <v>0.83630000000000004</v>
          </cell>
        </row>
        <row r="32">
          <cell r="B32" t="str">
            <v>Tambaram</v>
          </cell>
          <cell r="D32">
            <v>0.83940000000000003</v>
          </cell>
        </row>
        <row r="33">
          <cell r="B33" t="str">
            <v>Chengalpattu</v>
          </cell>
          <cell r="D33">
            <v>0.86419999999999997</v>
          </cell>
        </row>
        <row r="34">
          <cell r="B34" t="str">
            <v>Thiruporur</v>
          </cell>
          <cell r="D34">
            <v>0.8871</v>
          </cell>
        </row>
        <row r="35">
          <cell r="B35" t="str">
            <v>Cheyyur</v>
          </cell>
          <cell r="D35">
            <v>0.91020000000000001</v>
          </cell>
        </row>
        <row r="36">
          <cell r="B36" t="str">
            <v>Madurantakam</v>
          </cell>
          <cell r="D36">
            <v>0.92279999999999995</v>
          </cell>
        </row>
        <row r="37">
          <cell r="B37" t="str">
            <v>Uthiramerur</v>
          </cell>
          <cell r="D37">
            <v>0.91149999999999998</v>
          </cell>
        </row>
        <row r="38">
          <cell r="B38" t="str">
            <v>Kancheepuram</v>
          </cell>
          <cell r="D38">
            <v>0.87150000000000005</v>
          </cell>
        </row>
        <row r="39">
          <cell r="B39" t="str">
            <v>Arakkonam</v>
          </cell>
          <cell r="D39">
            <v>0.9012</v>
          </cell>
        </row>
        <row r="40">
          <cell r="B40" t="str">
            <v>Sholinghur</v>
          </cell>
          <cell r="D40">
            <v>0.89959999999999996</v>
          </cell>
        </row>
        <row r="41">
          <cell r="B41" t="str">
            <v>Katpadi</v>
          </cell>
          <cell r="D41">
            <v>0.88060000000000005</v>
          </cell>
        </row>
        <row r="42">
          <cell r="B42" t="str">
            <v>Ranipet</v>
          </cell>
          <cell r="D42">
            <v>0.8851</v>
          </cell>
        </row>
        <row r="43">
          <cell r="B43" t="str">
            <v>Arcot</v>
          </cell>
          <cell r="D43">
            <v>0.9103</v>
          </cell>
        </row>
        <row r="44">
          <cell r="B44" t="str">
            <v>Vellore</v>
          </cell>
          <cell r="D44">
            <v>0.87980000000000003</v>
          </cell>
        </row>
        <row r="45">
          <cell r="B45" t="str">
            <v>Anaikattu</v>
          </cell>
          <cell r="D45">
            <v>0.89690000000000003</v>
          </cell>
        </row>
        <row r="46">
          <cell r="B46" t="str">
            <v>Kilvaithinankuppam</v>
          </cell>
          <cell r="D46">
            <v>0.87250000000000005</v>
          </cell>
        </row>
        <row r="47">
          <cell r="B47" t="str">
            <v>Gudiyattam</v>
          </cell>
          <cell r="D47">
            <v>0.90469999999999995</v>
          </cell>
        </row>
        <row r="48">
          <cell r="B48" t="str">
            <v>Vaniyambadi</v>
          </cell>
          <cell r="D48">
            <v>0.87009999999999998</v>
          </cell>
        </row>
        <row r="49">
          <cell r="B49" t="str">
            <v>Ambur</v>
          </cell>
          <cell r="D49">
            <v>0.90669999999999995</v>
          </cell>
        </row>
        <row r="50">
          <cell r="B50" t="str">
            <v>Jolarpet</v>
          </cell>
          <cell r="D50">
            <v>0.89449999999999996</v>
          </cell>
        </row>
        <row r="51">
          <cell r="B51" t="str">
            <v>Tirupattur</v>
          </cell>
          <cell r="D51">
            <v>0.88690000000000002</v>
          </cell>
        </row>
        <row r="52">
          <cell r="B52" t="str">
            <v>Uthangarai</v>
          </cell>
          <cell r="D52">
            <v>0.86150000000000004</v>
          </cell>
        </row>
        <row r="53">
          <cell r="B53" t="str">
            <v>Bargur</v>
          </cell>
          <cell r="D53">
            <v>0.88009999999999999</v>
          </cell>
        </row>
        <row r="54">
          <cell r="B54" t="str">
            <v>Krishnagiri</v>
          </cell>
          <cell r="D54">
            <v>0.84850000000000003</v>
          </cell>
        </row>
        <row r="55">
          <cell r="B55" t="str">
            <v>Veppanahalli</v>
          </cell>
          <cell r="D55">
            <v>0.89839999999999998</v>
          </cell>
        </row>
        <row r="56">
          <cell r="B56" t="str">
            <v>Hosur</v>
          </cell>
          <cell r="D56">
            <v>0.80349999999999999</v>
          </cell>
        </row>
        <row r="57">
          <cell r="B57" t="str">
            <v>Thalli</v>
          </cell>
          <cell r="D57">
            <v>0.8589</v>
          </cell>
        </row>
        <row r="58">
          <cell r="B58" t="str">
            <v>Palacode</v>
          </cell>
          <cell r="D58">
            <v>0.92569999999999997</v>
          </cell>
        </row>
        <row r="59">
          <cell r="B59" t="str">
            <v>Pennagaram</v>
          </cell>
          <cell r="D59">
            <v>0.90710000000000002</v>
          </cell>
        </row>
        <row r="60">
          <cell r="B60" t="str">
            <v>Dharmapuri</v>
          </cell>
          <cell r="D60">
            <v>0.89439999999999997</v>
          </cell>
        </row>
        <row r="61">
          <cell r="B61" t="str">
            <v>Pappireddippatti</v>
          </cell>
          <cell r="D61">
            <v>0.90359999999999996</v>
          </cell>
        </row>
        <row r="62">
          <cell r="B62" t="str">
            <v>Harur</v>
          </cell>
          <cell r="D62">
            <v>0.87660000000000005</v>
          </cell>
        </row>
        <row r="63">
          <cell r="B63" t="str">
            <v>Chengam</v>
          </cell>
          <cell r="D63">
            <v>0.89459999999999995</v>
          </cell>
        </row>
        <row r="64">
          <cell r="B64" t="str">
            <v>Tiruvannamalai</v>
          </cell>
          <cell r="D64">
            <v>0.87319999999999998</v>
          </cell>
        </row>
        <row r="65">
          <cell r="B65" t="str">
            <v>Kilpennathur</v>
          </cell>
          <cell r="D65">
            <v>0.90300000000000002</v>
          </cell>
        </row>
        <row r="66">
          <cell r="B66" t="str">
            <v>Kalasapakkam</v>
          </cell>
          <cell r="D66">
            <v>0.9103</v>
          </cell>
        </row>
        <row r="67">
          <cell r="B67" t="str">
            <v>Polur</v>
          </cell>
          <cell r="D67">
            <v>0.89370000000000005</v>
          </cell>
        </row>
        <row r="68">
          <cell r="B68" t="str">
            <v>Arani</v>
          </cell>
          <cell r="D68">
            <v>0.8931</v>
          </cell>
        </row>
        <row r="69">
          <cell r="B69" t="str">
            <v>Cheyyar</v>
          </cell>
          <cell r="D69">
            <v>0.91969999999999996</v>
          </cell>
        </row>
        <row r="70">
          <cell r="B70" t="str">
            <v>Vandavasi</v>
          </cell>
          <cell r="D70">
            <v>0.88619999999999999</v>
          </cell>
        </row>
        <row r="71">
          <cell r="B71" t="str">
            <v>Gingee</v>
          </cell>
          <cell r="D71">
            <v>0.8851</v>
          </cell>
        </row>
        <row r="72">
          <cell r="B72" t="str">
            <v>Mailam</v>
          </cell>
          <cell r="D72">
            <v>0.89649999999999996</v>
          </cell>
        </row>
        <row r="73">
          <cell r="B73" t="str">
            <v>Tindivanam</v>
          </cell>
          <cell r="D73">
            <v>0.88560000000000005</v>
          </cell>
        </row>
        <row r="74">
          <cell r="B74" t="str">
            <v>Vanur</v>
          </cell>
          <cell r="D74">
            <v>0.91080000000000005</v>
          </cell>
        </row>
        <row r="75">
          <cell r="B75" t="str">
            <v>Villupuram</v>
          </cell>
          <cell r="D75">
            <v>0.86599999999999999</v>
          </cell>
        </row>
        <row r="76">
          <cell r="B76" t="str">
            <v>Vikravandi</v>
          </cell>
          <cell r="D76">
            <v>0.90510000000000002</v>
          </cell>
        </row>
        <row r="77">
          <cell r="B77" t="str">
            <v>Tirukkoyilur</v>
          </cell>
          <cell r="D77">
            <v>0.88460000000000005</v>
          </cell>
        </row>
        <row r="78">
          <cell r="B78" t="str">
            <v>Ulundurpettai</v>
          </cell>
          <cell r="D78">
            <v>0.89480000000000004</v>
          </cell>
        </row>
        <row r="79">
          <cell r="B79" t="str">
            <v>Rishivandiyam</v>
          </cell>
          <cell r="D79">
            <v>0.88919999999999999</v>
          </cell>
        </row>
        <row r="80">
          <cell r="B80" t="str">
            <v>Sankarapuram</v>
          </cell>
          <cell r="D80">
            <v>0.87580000000000002</v>
          </cell>
        </row>
        <row r="81">
          <cell r="B81" t="str">
            <v>Kallakurichi</v>
          </cell>
          <cell r="D81">
            <v>0.87929999999999997</v>
          </cell>
        </row>
        <row r="82">
          <cell r="B82" t="str">
            <v>Gangavalli</v>
          </cell>
          <cell r="D82">
            <v>0.88790000000000002</v>
          </cell>
        </row>
        <row r="83">
          <cell r="B83" t="str">
            <v>Attur</v>
          </cell>
          <cell r="D83">
            <v>0.90239999999999998</v>
          </cell>
        </row>
        <row r="84">
          <cell r="B84" t="str">
            <v>Yercaud</v>
          </cell>
          <cell r="D84">
            <v>0.92030000000000001</v>
          </cell>
        </row>
        <row r="85">
          <cell r="B85" t="str">
            <v>Omalur</v>
          </cell>
          <cell r="D85">
            <v>0.90900000000000003</v>
          </cell>
        </row>
        <row r="86">
          <cell r="B86" t="str">
            <v>Mettur</v>
          </cell>
          <cell r="D86">
            <v>0.89219999999999999</v>
          </cell>
        </row>
        <row r="87">
          <cell r="B87" t="str">
            <v>Edappadi</v>
          </cell>
          <cell r="D87">
            <v>0.92090000000000005</v>
          </cell>
        </row>
        <row r="88">
          <cell r="B88" t="str">
            <v>Sangagiri</v>
          </cell>
          <cell r="D88">
            <v>0.92530000000000001</v>
          </cell>
        </row>
        <row r="89">
          <cell r="B89" t="str">
            <v>Salem (West)</v>
          </cell>
          <cell r="D89">
            <v>0.89990000000000003</v>
          </cell>
        </row>
        <row r="90">
          <cell r="B90" t="str">
            <v>Salem (North)</v>
          </cell>
          <cell r="D90">
            <v>0.874</v>
          </cell>
        </row>
        <row r="91">
          <cell r="B91" t="str">
            <v>Salem (South)</v>
          </cell>
          <cell r="D91">
            <v>0.91010000000000002</v>
          </cell>
        </row>
        <row r="92">
          <cell r="B92" t="str">
            <v>Veerapandi</v>
          </cell>
          <cell r="D92">
            <v>0.93400000000000005</v>
          </cell>
        </row>
        <row r="93">
          <cell r="B93" t="str">
            <v>Rasipuram</v>
          </cell>
          <cell r="D93">
            <v>0.90600000000000003</v>
          </cell>
        </row>
        <row r="94">
          <cell r="B94" t="str">
            <v>Senthamangalam</v>
          </cell>
          <cell r="D94">
            <v>0.90169999999999995</v>
          </cell>
        </row>
        <row r="95">
          <cell r="B95" t="str">
            <v>Namakkal</v>
          </cell>
          <cell r="D95">
            <v>0.87719999999999998</v>
          </cell>
        </row>
        <row r="96">
          <cell r="B96" t="str">
            <v>Paramathi-Velur</v>
          </cell>
          <cell r="D96">
            <v>0.90239999999999998</v>
          </cell>
        </row>
        <row r="97">
          <cell r="B97" t="str">
            <v>Tiruchengodu</v>
          </cell>
          <cell r="D97">
            <v>0.90059999999999996</v>
          </cell>
        </row>
        <row r="98">
          <cell r="B98" t="str">
            <v>Kumarapalayam</v>
          </cell>
          <cell r="D98">
            <v>0.92649999999999999</v>
          </cell>
        </row>
        <row r="99">
          <cell r="B99" t="str">
            <v>Erode (East)</v>
          </cell>
          <cell r="D99">
            <v>0.89800000000000002</v>
          </cell>
        </row>
        <row r="100">
          <cell r="B100" t="str">
            <v>Erode (West)</v>
          </cell>
          <cell r="D100">
            <v>0.87949999999999995</v>
          </cell>
        </row>
        <row r="101">
          <cell r="B101" t="str">
            <v>Modakkurichi</v>
          </cell>
          <cell r="D101">
            <v>0.90339999999999998</v>
          </cell>
        </row>
        <row r="102">
          <cell r="B102" t="str">
            <v>Dharapuram</v>
          </cell>
          <cell r="D102">
            <v>0.88919999999999999</v>
          </cell>
        </row>
        <row r="103">
          <cell r="B103" t="str">
            <v>Kangayam</v>
          </cell>
          <cell r="D103">
            <v>0.91559999999999997</v>
          </cell>
        </row>
        <row r="104">
          <cell r="B104" t="str">
            <v>Perundurai</v>
          </cell>
          <cell r="D104">
            <v>0.92469999999999997</v>
          </cell>
        </row>
        <row r="105">
          <cell r="B105" t="str">
            <v>Bhavani</v>
          </cell>
          <cell r="D105">
            <v>0.91959999999999997</v>
          </cell>
        </row>
        <row r="106">
          <cell r="B106" t="str">
            <v>Anthiyur</v>
          </cell>
          <cell r="D106">
            <v>0.88149999999999995</v>
          </cell>
        </row>
        <row r="107">
          <cell r="B107" t="str">
            <v>Gobichettipalayam</v>
          </cell>
          <cell r="D107">
            <v>0.90739999999999998</v>
          </cell>
        </row>
        <row r="108">
          <cell r="B108" t="str">
            <v>Bhavanisagar</v>
          </cell>
          <cell r="D108">
            <v>0.8952</v>
          </cell>
        </row>
        <row r="109">
          <cell r="B109" t="str">
            <v>Udhagamandalam</v>
          </cell>
          <cell r="D109">
            <v>0.77590000000000003</v>
          </cell>
        </row>
        <row r="110">
          <cell r="B110" t="str">
            <v>Gudalur</v>
          </cell>
          <cell r="D110">
            <v>0.80800000000000005</v>
          </cell>
        </row>
        <row r="111">
          <cell r="B111" t="str">
            <v>Coonoor</v>
          </cell>
          <cell r="D111">
            <v>0.78380000000000005</v>
          </cell>
        </row>
        <row r="112">
          <cell r="B112" t="str">
            <v>Mettupalayam</v>
          </cell>
          <cell r="D112">
            <v>0.85960000000000003</v>
          </cell>
        </row>
        <row r="113">
          <cell r="B113" t="str">
            <v>Avanashi</v>
          </cell>
          <cell r="D113">
            <v>0.90569999999999995</v>
          </cell>
        </row>
        <row r="114">
          <cell r="B114" t="str">
            <v>Tiruppur (North)</v>
          </cell>
          <cell r="D114">
            <v>0.83140000000000003</v>
          </cell>
        </row>
        <row r="115">
          <cell r="B115" t="str">
            <v>Tiruppur (South)</v>
          </cell>
          <cell r="D115">
            <v>0.90710000000000002</v>
          </cell>
        </row>
        <row r="116">
          <cell r="B116" t="str">
            <v>Palladam</v>
          </cell>
          <cell r="D116">
            <v>0.9073</v>
          </cell>
        </row>
        <row r="117">
          <cell r="B117" t="str">
            <v>Sulur</v>
          </cell>
          <cell r="D117">
            <v>0.8831</v>
          </cell>
        </row>
        <row r="118">
          <cell r="B118" t="str">
            <v>Kavundampalayam</v>
          </cell>
          <cell r="D118">
            <v>0.85499999999999998</v>
          </cell>
        </row>
        <row r="119">
          <cell r="B119" t="str">
            <v>Coimbatore (North)</v>
          </cell>
          <cell r="D119">
            <v>0.75670000000000004</v>
          </cell>
        </row>
        <row r="120">
          <cell r="B120" t="str">
            <v>Thondamuthur</v>
          </cell>
          <cell r="D120">
            <v>0.875</v>
          </cell>
        </row>
        <row r="121">
          <cell r="B121" t="str">
            <v>Coimbatore (South)</v>
          </cell>
          <cell r="D121">
            <v>0.8216</v>
          </cell>
        </row>
        <row r="122">
          <cell r="B122" t="str">
            <v>Singanallur</v>
          </cell>
          <cell r="D122">
            <v>0.81200000000000006</v>
          </cell>
        </row>
        <row r="123">
          <cell r="B123" t="str">
            <v>Kinathukadavu</v>
          </cell>
          <cell r="D123">
            <v>0.87109999999999999</v>
          </cell>
        </row>
        <row r="124">
          <cell r="B124" t="str">
            <v>Pollachi</v>
          </cell>
          <cell r="D124">
            <v>0.88090000000000002</v>
          </cell>
        </row>
        <row r="125">
          <cell r="B125" t="str">
            <v>Valparai</v>
          </cell>
          <cell r="D125">
            <v>0.85950000000000004</v>
          </cell>
        </row>
        <row r="126">
          <cell r="B126" t="str">
            <v>Udumalaipettai</v>
          </cell>
          <cell r="D126">
            <v>0.874</v>
          </cell>
        </row>
        <row r="127">
          <cell r="B127" t="str">
            <v>Madathukulam</v>
          </cell>
          <cell r="D127">
            <v>0.86899999999999999</v>
          </cell>
        </row>
        <row r="128">
          <cell r="B128" t="str">
            <v>Palani</v>
          </cell>
          <cell r="D128">
            <v>0.86240000000000006</v>
          </cell>
        </row>
        <row r="129">
          <cell r="B129" t="str">
            <v>Oddanchatram</v>
          </cell>
          <cell r="D129">
            <v>0.9073</v>
          </cell>
        </row>
        <row r="130">
          <cell r="B130" t="str">
            <v>Athoor</v>
          </cell>
          <cell r="D130">
            <v>0.89490000000000003</v>
          </cell>
        </row>
        <row r="131">
          <cell r="B131" t="str">
            <v>Nilakottai</v>
          </cell>
          <cell r="D131">
            <v>0.88570000000000004</v>
          </cell>
        </row>
        <row r="132">
          <cell r="B132" t="str">
            <v>Natham</v>
          </cell>
          <cell r="D132">
            <v>0.9113</v>
          </cell>
        </row>
        <row r="133">
          <cell r="B133" t="str">
            <v>Dindigul</v>
          </cell>
          <cell r="D133">
            <v>0.86339999999999995</v>
          </cell>
        </row>
        <row r="134">
          <cell r="B134" t="str">
            <v>Vedasandur</v>
          </cell>
          <cell r="D134">
            <v>0.9214</v>
          </cell>
        </row>
        <row r="135">
          <cell r="B135" t="str">
            <v>Aravakurichi</v>
          </cell>
          <cell r="D135">
            <v>0.91749999999999998</v>
          </cell>
        </row>
        <row r="136">
          <cell r="B136" t="str">
            <v>Karur</v>
          </cell>
          <cell r="D136">
            <v>0.93400000000000005</v>
          </cell>
        </row>
        <row r="137">
          <cell r="B137" t="str">
            <v>Krishnarayapuram</v>
          </cell>
          <cell r="D137">
            <v>0.92449999999999999</v>
          </cell>
        </row>
        <row r="138">
          <cell r="B138" t="str">
            <v>Kulithalai</v>
          </cell>
          <cell r="D138">
            <v>0.92789999999999995</v>
          </cell>
        </row>
        <row r="139">
          <cell r="B139" t="str">
            <v>Manapaarai</v>
          </cell>
          <cell r="D139">
            <v>0.8881</v>
          </cell>
        </row>
        <row r="140">
          <cell r="B140" t="str">
            <v>Srirangam</v>
          </cell>
          <cell r="D140">
            <v>0.87890000000000001</v>
          </cell>
        </row>
        <row r="141">
          <cell r="B141" t="str">
            <v>Tiruchirappalli (West)</v>
          </cell>
          <cell r="D141">
            <v>0.8135</v>
          </cell>
        </row>
        <row r="142">
          <cell r="B142" t="str">
            <v>Tiruchirappalli (East)</v>
          </cell>
          <cell r="D142">
            <v>0.81769999999999998</v>
          </cell>
        </row>
        <row r="143">
          <cell r="B143" t="str">
            <v>Thiruverumbur</v>
          </cell>
          <cell r="D143">
            <v>0.81210000000000004</v>
          </cell>
        </row>
        <row r="144">
          <cell r="B144" t="str">
            <v>Lalgudi</v>
          </cell>
          <cell r="D144">
            <v>0.86509999999999998</v>
          </cell>
        </row>
        <row r="145">
          <cell r="B145" t="str">
            <v>Manachanallur</v>
          </cell>
          <cell r="D145">
            <v>0.87639999999999996</v>
          </cell>
        </row>
        <row r="146">
          <cell r="B146" t="str">
            <v>Musiri</v>
          </cell>
          <cell r="D146">
            <v>0.86819999999999997</v>
          </cell>
        </row>
        <row r="147">
          <cell r="B147" t="str">
            <v>Thuraiyur</v>
          </cell>
          <cell r="D147">
            <v>0.86519999999999997</v>
          </cell>
        </row>
        <row r="148">
          <cell r="B148" t="str">
            <v>Perambalur</v>
          </cell>
          <cell r="D148">
            <v>0.85919999999999996</v>
          </cell>
        </row>
        <row r="149">
          <cell r="B149" t="str">
            <v>Kunnam</v>
          </cell>
          <cell r="D149">
            <v>0.85040000000000004</v>
          </cell>
        </row>
        <row r="150">
          <cell r="B150" t="str">
            <v>Ariyalur</v>
          </cell>
          <cell r="D150">
            <v>0.88970000000000005</v>
          </cell>
        </row>
        <row r="151">
          <cell r="B151" t="str">
            <v>Jayankondam</v>
          </cell>
          <cell r="D151">
            <v>0.85850000000000004</v>
          </cell>
        </row>
        <row r="152">
          <cell r="B152" t="str">
            <v>Tittakudi</v>
          </cell>
          <cell r="D152">
            <v>0.83330000000000004</v>
          </cell>
        </row>
        <row r="153">
          <cell r="B153" t="str">
            <v>Virudhachalam</v>
          </cell>
          <cell r="D153">
            <v>0.86</v>
          </cell>
        </row>
        <row r="154">
          <cell r="B154" t="str">
            <v>Neyveli</v>
          </cell>
          <cell r="D154">
            <v>0.87190000000000001</v>
          </cell>
        </row>
        <row r="155">
          <cell r="B155" t="str">
            <v>Panruti</v>
          </cell>
          <cell r="D155">
            <v>0.8609</v>
          </cell>
        </row>
        <row r="156">
          <cell r="B156" t="str">
            <v>Cuddalore</v>
          </cell>
          <cell r="D156">
            <v>0.83879999999999999</v>
          </cell>
        </row>
        <row r="157">
          <cell r="B157" t="str">
            <v>Kurinjipadi</v>
          </cell>
          <cell r="D157">
            <v>0.88929999999999998</v>
          </cell>
        </row>
        <row r="158">
          <cell r="B158" t="str">
            <v>Bhuvanagiri</v>
          </cell>
          <cell r="D158">
            <v>0.879</v>
          </cell>
        </row>
        <row r="159">
          <cell r="B159" t="str">
            <v>Chidambaram</v>
          </cell>
          <cell r="D159">
            <v>0.83809999999999996</v>
          </cell>
        </row>
        <row r="160">
          <cell r="B160" t="str">
            <v>Kattumannarkoil</v>
          </cell>
          <cell r="D160">
            <v>0.82110000000000005</v>
          </cell>
        </row>
        <row r="161">
          <cell r="B161" t="str">
            <v>Sirkazhi</v>
          </cell>
          <cell r="D161">
            <v>0.82440000000000002</v>
          </cell>
        </row>
        <row r="162">
          <cell r="B162" t="str">
            <v>Mayiladuturai</v>
          </cell>
          <cell r="D162">
            <v>0.79669999999999996</v>
          </cell>
        </row>
        <row r="163">
          <cell r="B163" t="str">
            <v>Poompuhar</v>
          </cell>
          <cell r="D163">
            <v>0.84089999999999998</v>
          </cell>
        </row>
        <row r="164">
          <cell r="B164" t="str">
            <v>Nagapattinam</v>
          </cell>
          <cell r="D164">
            <v>0.85870000000000002</v>
          </cell>
        </row>
        <row r="165">
          <cell r="B165" t="str">
            <v>Kilvelur</v>
          </cell>
          <cell r="D165">
            <v>0.87980000000000003</v>
          </cell>
        </row>
        <row r="166">
          <cell r="B166" t="str">
            <v>Vedaranyam</v>
          </cell>
          <cell r="D166">
            <v>0.8518</v>
          </cell>
        </row>
        <row r="167">
          <cell r="B167" t="str">
            <v>Thiruthuraipoondi</v>
          </cell>
          <cell r="D167">
            <v>0.83379999999999999</v>
          </cell>
        </row>
        <row r="168">
          <cell r="B168" t="str">
            <v>Mannargudi</v>
          </cell>
          <cell r="D168">
            <v>0.82140000000000002</v>
          </cell>
        </row>
        <row r="169">
          <cell r="B169" t="str">
            <v>Thiruvarur</v>
          </cell>
          <cell r="D169">
            <v>0.83069999999999999</v>
          </cell>
        </row>
        <row r="170">
          <cell r="B170" t="str">
            <v>Nannilam</v>
          </cell>
          <cell r="D170">
            <v>0.85919999999999996</v>
          </cell>
        </row>
        <row r="171">
          <cell r="B171" t="str">
            <v>Thiruvidaimarudur</v>
          </cell>
          <cell r="D171">
            <v>0.80779999999999996</v>
          </cell>
        </row>
        <row r="172">
          <cell r="B172" t="str">
            <v>Kumbakonam</v>
          </cell>
          <cell r="D172">
            <v>0.81040000000000001</v>
          </cell>
        </row>
        <row r="173">
          <cell r="B173" t="str">
            <v>Papanasam</v>
          </cell>
          <cell r="D173">
            <v>0.8034</v>
          </cell>
        </row>
        <row r="174">
          <cell r="B174" t="str">
            <v>Thiruvaiyaru</v>
          </cell>
          <cell r="D174">
            <v>0.85189999999999999</v>
          </cell>
        </row>
        <row r="175">
          <cell r="B175" t="str">
            <v>Thanjavur</v>
          </cell>
          <cell r="D175">
            <v>0.77470000000000006</v>
          </cell>
        </row>
        <row r="176">
          <cell r="B176" t="str">
            <v>Orathanadu</v>
          </cell>
          <cell r="D176">
            <v>0.82979999999999998</v>
          </cell>
        </row>
        <row r="177">
          <cell r="B177" t="str">
            <v>Pattukkottai</v>
          </cell>
          <cell r="D177">
            <v>0.75419999999999998</v>
          </cell>
        </row>
        <row r="178">
          <cell r="B178" t="str">
            <v>Peravurani</v>
          </cell>
          <cell r="D178">
            <v>0.81889999999999996</v>
          </cell>
        </row>
        <row r="179">
          <cell r="B179" t="str">
            <v>Gandarvakottai</v>
          </cell>
          <cell r="D179">
            <v>0.84930000000000005</v>
          </cell>
        </row>
        <row r="180">
          <cell r="B180" t="str">
            <v>Viralimalai</v>
          </cell>
          <cell r="D180">
            <v>0.89800000000000002</v>
          </cell>
        </row>
        <row r="181">
          <cell r="B181" t="str">
            <v>Pudukkottai</v>
          </cell>
          <cell r="D181">
            <v>0.83260000000000001</v>
          </cell>
        </row>
        <row r="182">
          <cell r="B182" t="str">
            <v>Thirumayam</v>
          </cell>
          <cell r="D182">
            <v>0.82069999999999999</v>
          </cell>
        </row>
        <row r="183">
          <cell r="B183" t="str">
            <v>Alangudi</v>
          </cell>
          <cell r="D183">
            <v>0.84589999999999999</v>
          </cell>
        </row>
        <row r="184">
          <cell r="B184" t="str">
            <v>Aranthangi</v>
          </cell>
          <cell r="D184">
            <v>0.78969999999999996</v>
          </cell>
        </row>
        <row r="185">
          <cell r="B185" t="str">
            <v>Karaikudi</v>
          </cell>
          <cell r="D185">
            <v>0.74329999999999996</v>
          </cell>
        </row>
        <row r="186">
          <cell r="B186" t="str">
            <v>Tiruppattur</v>
          </cell>
          <cell r="D186">
            <v>0.77449999999999997</v>
          </cell>
        </row>
        <row r="187">
          <cell r="B187" t="str">
            <v>Sivaganga</v>
          </cell>
          <cell r="D187">
            <v>0.75990000000000002</v>
          </cell>
        </row>
        <row r="188">
          <cell r="B188" t="str">
            <v>Manamadurai</v>
          </cell>
          <cell r="D188">
            <v>0.79290000000000005</v>
          </cell>
        </row>
        <row r="189">
          <cell r="B189" t="str">
            <v>Melur</v>
          </cell>
          <cell r="D189">
            <v>0.82220000000000004</v>
          </cell>
        </row>
        <row r="190">
          <cell r="B190" t="str">
            <v>Madurai East</v>
          </cell>
          <cell r="D190">
            <v>0.79900000000000004</v>
          </cell>
        </row>
        <row r="191">
          <cell r="B191" t="str">
            <v>Sholavandan</v>
          </cell>
          <cell r="D191">
            <v>0.87229999999999996</v>
          </cell>
        </row>
        <row r="192">
          <cell r="B192" t="str">
            <v>Madurai North</v>
          </cell>
          <cell r="D192">
            <v>0.72629999999999995</v>
          </cell>
        </row>
        <row r="193">
          <cell r="B193" t="str">
            <v>Madurai South</v>
          </cell>
          <cell r="D193">
            <v>0.78190000000000004</v>
          </cell>
        </row>
        <row r="194">
          <cell r="B194" t="str">
            <v>Madurai Central</v>
          </cell>
          <cell r="D194">
            <v>0.73880000000000001</v>
          </cell>
        </row>
        <row r="195">
          <cell r="B195" t="str">
            <v>Madurai West</v>
          </cell>
          <cell r="D195">
            <v>0.77769999999999995</v>
          </cell>
        </row>
        <row r="196">
          <cell r="B196" t="str">
            <v>Thiruparankundram</v>
          </cell>
          <cell r="D196">
            <v>0.81410000000000005</v>
          </cell>
        </row>
        <row r="197">
          <cell r="B197" t="str">
            <v>Thirumangalam</v>
          </cell>
          <cell r="D197">
            <v>0.87029999999999996</v>
          </cell>
        </row>
        <row r="198">
          <cell r="B198" t="str">
            <v>Usilampatti</v>
          </cell>
          <cell r="D198">
            <v>0.82950000000000002</v>
          </cell>
        </row>
        <row r="199">
          <cell r="B199" t="str">
            <v>Andipatti</v>
          </cell>
          <cell r="D199">
            <v>0.83679999999999999</v>
          </cell>
        </row>
        <row r="200">
          <cell r="B200" t="str">
            <v>Periyakulam</v>
          </cell>
          <cell r="D200">
            <v>0.78510000000000002</v>
          </cell>
        </row>
        <row r="201">
          <cell r="B201" t="str">
            <v>Bodinayakanur</v>
          </cell>
          <cell r="D201">
            <v>0.82869999999999999</v>
          </cell>
        </row>
        <row r="202">
          <cell r="B202" t="str">
            <v>Cumbum</v>
          </cell>
          <cell r="D202">
            <v>0.81230000000000002</v>
          </cell>
        </row>
        <row r="203">
          <cell r="B203" t="str">
            <v>Rajapalayam</v>
          </cell>
          <cell r="D203">
            <v>0.84350000000000003</v>
          </cell>
        </row>
        <row r="204">
          <cell r="B204" t="str">
            <v>Srivilliputhur</v>
          </cell>
          <cell r="D204">
            <v>0.84970000000000001</v>
          </cell>
        </row>
        <row r="205">
          <cell r="B205" t="str">
            <v>Sattur</v>
          </cell>
          <cell r="D205">
            <v>0.85629999999999995</v>
          </cell>
        </row>
        <row r="206">
          <cell r="B206" t="str">
            <v>Sivakasi</v>
          </cell>
          <cell r="D206">
            <v>0.8407</v>
          </cell>
        </row>
        <row r="207">
          <cell r="B207" t="str">
            <v>Virudhunagar</v>
          </cell>
          <cell r="D207">
            <v>0.82740000000000002</v>
          </cell>
        </row>
        <row r="208">
          <cell r="B208" t="str">
            <v>Aruppukkottai</v>
          </cell>
          <cell r="D208">
            <v>0.84709999999999996</v>
          </cell>
        </row>
        <row r="209">
          <cell r="B209" t="str">
            <v>Tiruchuli</v>
          </cell>
          <cell r="D209">
            <v>0.87229999999999996</v>
          </cell>
        </row>
        <row r="210">
          <cell r="B210" t="str">
            <v>Paramakudi</v>
          </cell>
          <cell r="D210">
            <v>0.79610000000000003</v>
          </cell>
        </row>
        <row r="211">
          <cell r="B211" t="str">
            <v>Tiruvadanai</v>
          </cell>
          <cell r="D211">
            <v>0.77080000000000004</v>
          </cell>
        </row>
        <row r="212">
          <cell r="B212" t="str">
            <v>Ramanathapuram</v>
          </cell>
          <cell r="D212">
            <v>0.75370000000000004</v>
          </cell>
        </row>
        <row r="213">
          <cell r="B213" t="str">
            <v>Mudhukulathur</v>
          </cell>
          <cell r="D213">
            <v>0.76619999999999999</v>
          </cell>
        </row>
        <row r="214">
          <cell r="B214" t="str">
            <v>Vilathikulam</v>
          </cell>
          <cell r="D214">
            <v>0.84160000000000001</v>
          </cell>
        </row>
        <row r="215">
          <cell r="B215" t="str">
            <v>Thoothukkudi</v>
          </cell>
          <cell r="D215">
            <v>0.80920000000000003</v>
          </cell>
        </row>
        <row r="216">
          <cell r="B216" t="str">
            <v>Tiruchendur</v>
          </cell>
          <cell r="D216">
            <v>0.78890000000000005</v>
          </cell>
        </row>
        <row r="217">
          <cell r="B217" t="str">
            <v>Srivaikuntam</v>
          </cell>
          <cell r="D217">
            <v>0.81040000000000001</v>
          </cell>
        </row>
        <row r="218">
          <cell r="B218" t="str">
            <v>Ottapidaram</v>
          </cell>
          <cell r="D218">
            <v>0.79390000000000005</v>
          </cell>
        </row>
        <row r="219">
          <cell r="B219" t="str">
            <v>Kovilpatti</v>
          </cell>
          <cell r="D219">
            <v>0.79339999999999999</v>
          </cell>
        </row>
        <row r="220">
          <cell r="B220" t="str">
            <v>Sankarankovil</v>
          </cell>
          <cell r="D220">
            <v>0.81040000000000001</v>
          </cell>
        </row>
        <row r="221">
          <cell r="B221" t="str">
            <v>Vasudevanallur</v>
          </cell>
          <cell r="D221">
            <v>0.81520000000000004</v>
          </cell>
        </row>
        <row r="222">
          <cell r="B222" t="str">
            <v>Kadayanallur</v>
          </cell>
          <cell r="D222">
            <v>0.81379999999999997</v>
          </cell>
        </row>
        <row r="223">
          <cell r="B223" t="str">
            <v>Tenkasi</v>
          </cell>
          <cell r="D223">
            <v>0.82440000000000002</v>
          </cell>
        </row>
        <row r="224">
          <cell r="B224" t="str">
            <v>Alangulam</v>
          </cell>
          <cell r="D224">
            <v>0.85529999999999995</v>
          </cell>
        </row>
        <row r="225">
          <cell r="B225" t="str">
            <v>Tirunelveli</v>
          </cell>
          <cell r="D225">
            <v>0.78210000000000002</v>
          </cell>
        </row>
        <row r="226">
          <cell r="B226" t="str">
            <v>Ambasamudram</v>
          </cell>
          <cell r="D226">
            <v>0.82889999999999997</v>
          </cell>
        </row>
        <row r="227">
          <cell r="B227" t="str">
            <v>Palayamkottai</v>
          </cell>
          <cell r="D227">
            <v>0.68969999999999998</v>
          </cell>
        </row>
        <row r="228">
          <cell r="B228" t="str">
            <v>Nanguneri</v>
          </cell>
          <cell r="D228">
            <v>0.80220000000000002</v>
          </cell>
        </row>
        <row r="229">
          <cell r="B229" t="str">
            <v>Radhapuram</v>
          </cell>
          <cell r="D229">
            <v>0.80030000000000001</v>
          </cell>
        </row>
        <row r="230">
          <cell r="B230" t="str">
            <v>Kanniyakumari</v>
          </cell>
          <cell r="D230">
            <v>0.81430000000000002</v>
          </cell>
        </row>
        <row r="231">
          <cell r="B231" t="str">
            <v>Nagercoil</v>
          </cell>
          <cell r="D231">
            <v>0.74719999999999998</v>
          </cell>
        </row>
        <row r="232">
          <cell r="B232" t="str">
            <v>Colachal</v>
          </cell>
          <cell r="D232">
            <v>0.74129999999999996</v>
          </cell>
        </row>
        <row r="233">
          <cell r="B233" t="str">
            <v>Padmanabhapuram</v>
          </cell>
          <cell r="D233">
            <v>0.75460000000000005</v>
          </cell>
        </row>
        <row r="234">
          <cell r="B234" t="str">
            <v>Vilavancode</v>
          </cell>
          <cell r="D234">
            <v>0.75770000000000004</v>
          </cell>
        </row>
        <row r="235">
          <cell r="B235" t="str">
            <v>Killiyoor</v>
          </cell>
          <cell r="D235">
            <v>0.71289999999999998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 Ramesh" refreshedDate="46164.411828356482" createdVersion="8" refreshedVersion="8" minRefreshableVersion="3" recordCount="234" xr:uid="{FD0F8357-383E-4273-B85F-9A889325AE03}">
  <cacheSource type="worksheet">
    <worksheetSource ref="A1:I235" sheet="constituency_master"/>
  </cacheSource>
  <cacheFields count="9">
    <cacheField name="ac_number" numFmtId="0">
      <sharedItems containsSemiMixedTypes="0" containsString="0" containsNumber="1" containsInteger="1" minValue="1" maxValue="234"/>
    </cacheField>
    <cacheField name="constituency" numFmtId="0">
      <sharedItems/>
    </cacheField>
    <cacheField name="district" numFmtId="0">
      <sharedItems/>
    </cacheField>
    <cacheField name="region" numFmtId="0">
      <sharedItems count="6">
        <s v="Chennai Metro"/>
        <s v="North"/>
        <s v="Central"/>
        <s v="Kongu"/>
        <s v="South"/>
        <s v="Delta"/>
      </sharedItems>
    </cacheField>
    <cacheField name="reserved" numFmtId="0">
      <sharedItems/>
    </cacheField>
    <cacheField name="Winner_2021" numFmtId="0">
      <sharedItems/>
    </cacheField>
    <cacheField name="Party_Group_2021" numFmtId="0">
      <sharedItems count="5">
        <s v="DMK"/>
        <s v="INC"/>
        <s v="Others"/>
        <s v="AIADMK"/>
        <s v="PMK"/>
      </sharedItems>
    </cacheField>
    <cacheField name="Winner_2026" numFmtId="0">
      <sharedItems/>
    </cacheField>
    <cacheField name="Party_Group_2026" numFmtId="0">
      <sharedItems count="6">
        <s v="TVK"/>
        <s v="AIADMK"/>
        <s v="DMK"/>
        <s v="Others"/>
        <s v="PMK"/>
        <s v="INC"/>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4">
  <r>
    <n v="1"/>
    <s v="Gummidipundi"/>
    <s v="Tiruvallur"/>
    <x v="0"/>
    <s v="GEN"/>
    <s v="DMK"/>
    <x v="0"/>
    <s v="TVK"/>
    <x v="0"/>
  </r>
  <r>
    <n v="2"/>
    <s v="Ponneri"/>
    <s v="Tiruvallur"/>
    <x v="0"/>
    <s v="SC"/>
    <s v="INC"/>
    <x v="1"/>
    <s v="TVK"/>
    <x v="0"/>
  </r>
  <r>
    <n v="3"/>
    <s v="Tiruttani"/>
    <s v="Tiruvallur"/>
    <x v="0"/>
    <s v="GEN"/>
    <s v="DMK"/>
    <x v="0"/>
    <s v="AIADMK"/>
    <x v="1"/>
  </r>
  <r>
    <n v="4"/>
    <s v="Thiruvallur"/>
    <s v="Tiruvallur"/>
    <x v="0"/>
    <s v="GEN"/>
    <s v="DMK"/>
    <x v="0"/>
    <s v="TVK"/>
    <x v="0"/>
  </r>
  <r>
    <n v="5"/>
    <s v="Poonamallee"/>
    <s v="Tiruvallur"/>
    <x v="0"/>
    <s v="SC"/>
    <s v="DMK"/>
    <x v="0"/>
    <s v="TVK"/>
    <x v="0"/>
  </r>
  <r>
    <n v="6"/>
    <s v="Avadi"/>
    <s v="Tiruvallur"/>
    <x v="0"/>
    <s v="GEN"/>
    <s v="DMK"/>
    <x v="0"/>
    <s v="TVK"/>
    <x v="0"/>
  </r>
  <r>
    <n v="7"/>
    <s v="Maduravoyal"/>
    <s v="Tiruvallur"/>
    <x v="0"/>
    <s v="GEN"/>
    <s v="DMK"/>
    <x v="0"/>
    <s v="TVK"/>
    <x v="0"/>
  </r>
  <r>
    <n v="8"/>
    <s v="Ambattur"/>
    <s v="Tiruvallur"/>
    <x v="0"/>
    <s v="GEN"/>
    <s v="DMK"/>
    <x v="0"/>
    <s v="TVK"/>
    <x v="0"/>
  </r>
  <r>
    <n v="9"/>
    <s v="Madavaram"/>
    <s v="Tiruvallur"/>
    <x v="0"/>
    <s v="GEN"/>
    <s v="DMK"/>
    <x v="0"/>
    <s v="TVK"/>
    <x v="0"/>
  </r>
  <r>
    <n v="10"/>
    <s v="Thiruvottiyur"/>
    <s v="Tiruvallur"/>
    <x v="0"/>
    <s v="GEN"/>
    <s v="DMK"/>
    <x v="0"/>
    <s v="TVK"/>
    <x v="0"/>
  </r>
  <r>
    <n v="11"/>
    <s v="Dr. Radhakrishnan Nagar"/>
    <s v="Chennai"/>
    <x v="0"/>
    <s v="GEN"/>
    <s v="DMK"/>
    <x v="0"/>
    <s v="TVK"/>
    <x v="0"/>
  </r>
  <r>
    <n v="12"/>
    <s v="Perambur"/>
    <s v="Chennai"/>
    <x v="0"/>
    <s v="GEN"/>
    <s v="DMK"/>
    <x v="0"/>
    <s v="TVK"/>
    <x v="0"/>
  </r>
  <r>
    <n v="13"/>
    <s v="Kolathur"/>
    <s v="Chennai"/>
    <x v="0"/>
    <s v="GEN"/>
    <s v="DMK"/>
    <x v="0"/>
    <s v="TVK"/>
    <x v="0"/>
  </r>
  <r>
    <n v="14"/>
    <s v="Villivakkam"/>
    <s v="Chennai"/>
    <x v="0"/>
    <s v="GEN"/>
    <s v="DMK"/>
    <x v="0"/>
    <s v="TVK"/>
    <x v="0"/>
  </r>
  <r>
    <n v="15"/>
    <s v="Thiru-Vi-Ka-Nagar"/>
    <s v="Chennai"/>
    <x v="0"/>
    <s v="SC"/>
    <s v="DMK"/>
    <x v="0"/>
    <s v="TVK"/>
    <x v="0"/>
  </r>
  <r>
    <n v="16"/>
    <s v="Egmore"/>
    <s v="Chennai"/>
    <x v="0"/>
    <s v="SC"/>
    <s v="DMK"/>
    <x v="0"/>
    <s v="TVK"/>
    <x v="0"/>
  </r>
  <r>
    <n v="17"/>
    <s v="Royapuram"/>
    <s v="Chennai"/>
    <x v="0"/>
    <s v="GEN"/>
    <s v="DMK"/>
    <x v="0"/>
    <s v="TVK"/>
    <x v="0"/>
  </r>
  <r>
    <n v="18"/>
    <s v="Harbour"/>
    <s v="Chennai"/>
    <x v="0"/>
    <s v="GEN"/>
    <s v="DMK"/>
    <x v="0"/>
    <s v="DMK"/>
    <x v="2"/>
  </r>
  <r>
    <n v="19"/>
    <s v="Chepauk-Thiruvallikeni"/>
    <s v="Chennai"/>
    <x v="0"/>
    <s v="GEN"/>
    <s v="DMK"/>
    <x v="0"/>
    <s v="DMK"/>
    <x v="2"/>
  </r>
  <r>
    <n v="20"/>
    <s v="Thousand Lights"/>
    <s v="Chennai"/>
    <x v="0"/>
    <s v="GEN"/>
    <s v="DMK"/>
    <x v="0"/>
    <s v="TVK"/>
    <x v="0"/>
  </r>
  <r>
    <n v="21"/>
    <s v="Anna Nagar"/>
    <s v="Chennai"/>
    <x v="0"/>
    <s v="GEN"/>
    <s v="DMK"/>
    <x v="0"/>
    <s v="TVK"/>
    <x v="0"/>
  </r>
  <r>
    <n v="22"/>
    <s v="Virugampakkam"/>
    <s v="Chennai"/>
    <x v="0"/>
    <s v="GEN"/>
    <s v="DMK"/>
    <x v="0"/>
    <s v="TVK"/>
    <x v="0"/>
  </r>
  <r>
    <n v="23"/>
    <s v="Saidapet"/>
    <s v="Chennai"/>
    <x v="0"/>
    <s v="GEN"/>
    <s v="DMK"/>
    <x v="0"/>
    <s v="TVK"/>
    <x v="0"/>
  </r>
  <r>
    <n v="24"/>
    <s v="Theayagaraya Nagar"/>
    <s v="Chennai"/>
    <x v="0"/>
    <s v="GEN"/>
    <s v="DMK"/>
    <x v="0"/>
    <s v="TVK"/>
    <x v="0"/>
  </r>
  <r>
    <n v="25"/>
    <s v="Mylapore"/>
    <s v="Chennai"/>
    <x v="0"/>
    <s v="GEN"/>
    <s v="DMK"/>
    <x v="0"/>
    <s v="TVK"/>
    <x v="0"/>
  </r>
  <r>
    <n v="26"/>
    <s v="Velachery"/>
    <s v="Chennai"/>
    <x v="0"/>
    <s v="GEN"/>
    <s v="INC"/>
    <x v="1"/>
    <s v="TVK"/>
    <x v="0"/>
  </r>
  <r>
    <n v="27"/>
    <s v="Shozhinganallur"/>
    <s v="Kanchipuram"/>
    <x v="0"/>
    <s v="GEN"/>
    <s v="DMK"/>
    <x v="0"/>
    <s v="TVK"/>
    <x v="0"/>
  </r>
  <r>
    <n v="28"/>
    <s v="Alandur"/>
    <s v="Kanchipuram"/>
    <x v="0"/>
    <s v="GEN"/>
    <s v="DMK"/>
    <x v="0"/>
    <s v="TVK"/>
    <x v="0"/>
  </r>
  <r>
    <n v="29"/>
    <s v="Sriperumbudur"/>
    <s v="Kanchipuram"/>
    <x v="0"/>
    <s v="SC"/>
    <s v="INC"/>
    <x v="1"/>
    <s v="TVK"/>
    <x v="0"/>
  </r>
  <r>
    <n v="30"/>
    <s v="Pallavaram"/>
    <s v="Kanchipuram"/>
    <x v="0"/>
    <s v="GEN"/>
    <s v="DMK"/>
    <x v="0"/>
    <s v="TVK"/>
    <x v="0"/>
  </r>
  <r>
    <n v="31"/>
    <s v="Tambaram"/>
    <s v="Kanchipuram"/>
    <x v="0"/>
    <s v="GEN"/>
    <s v="DMK"/>
    <x v="0"/>
    <s v="TVK"/>
    <x v="0"/>
  </r>
  <r>
    <n v="32"/>
    <s v="Chengalpattu"/>
    <s v="Kanchipuram"/>
    <x v="0"/>
    <s v="GEN"/>
    <s v="DMK"/>
    <x v="0"/>
    <s v="TVK"/>
    <x v="0"/>
  </r>
  <r>
    <n v="33"/>
    <s v="Thiruporur"/>
    <s v="Kanchipuram"/>
    <x v="1"/>
    <s v="GEN"/>
    <s v="VCK"/>
    <x v="2"/>
    <s v="TVK"/>
    <x v="0"/>
  </r>
  <r>
    <n v="34"/>
    <s v="Cheyyur"/>
    <s v="Kanchipuram"/>
    <x v="1"/>
    <s v="SC"/>
    <s v="VCK"/>
    <x v="2"/>
    <s v="AIADMK"/>
    <x v="1"/>
  </r>
  <r>
    <n v="35"/>
    <s v="Maduranthakam"/>
    <s v="Kanchipuram"/>
    <x v="1"/>
    <s v="SC"/>
    <s v="AIADMK"/>
    <x v="3"/>
    <s v="AIADMK"/>
    <x v="1"/>
  </r>
  <r>
    <n v="36"/>
    <s v="Uthiramerur"/>
    <s v="Kanchipuram"/>
    <x v="1"/>
    <s v="GEN"/>
    <s v="DMK"/>
    <x v="0"/>
    <s v="TVK"/>
    <x v="0"/>
  </r>
  <r>
    <n v="37"/>
    <s v="Kancheepuram"/>
    <s v="Kanchipuram"/>
    <x v="1"/>
    <s v="GEN"/>
    <s v="DMK"/>
    <x v="0"/>
    <s v="TVK"/>
    <x v="0"/>
  </r>
  <r>
    <n v="38"/>
    <s v="Arakonam"/>
    <s v="Vellore"/>
    <x v="1"/>
    <s v="SC"/>
    <s v="AIADMK"/>
    <x v="3"/>
    <s v="TVK"/>
    <x v="0"/>
  </r>
  <r>
    <n v="39"/>
    <s v="Sholinghur"/>
    <s v="Vellore"/>
    <x v="1"/>
    <s v="GEN"/>
    <s v="INC"/>
    <x v="1"/>
    <s v="TVK"/>
    <x v="0"/>
  </r>
  <r>
    <n v="40"/>
    <s v="Katpadi"/>
    <s v="Vellore"/>
    <x v="1"/>
    <s v="GEN"/>
    <s v="DMK"/>
    <x v="0"/>
    <s v="TVK"/>
    <x v="0"/>
  </r>
  <r>
    <n v="41"/>
    <s v="Ranipet"/>
    <s v="Vellore"/>
    <x v="1"/>
    <s v="GEN"/>
    <s v="DMK"/>
    <x v="0"/>
    <s v="TVK"/>
    <x v="0"/>
  </r>
  <r>
    <n v="42"/>
    <s v="Arcot"/>
    <s v="Vellore"/>
    <x v="1"/>
    <s v="GEN"/>
    <s v="DMK"/>
    <x v="0"/>
    <s v="AIADMK"/>
    <x v="1"/>
  </r>
  <r>
    <n v="43"/>
    <s v="Vellore"/>
    <s v="Vellore"/>
    <x v="1"/>
    <s v="GEN"/>
    <s v="DMK"/>
    <x v="0"/>
    <s v="TVK"/>
    <x v="0"/>
  </r>
  <r>
    <n v="44"/>
    <s v="Anaikattu"/>
    <s v="Vellore"/>
    <x v="1"/>
    <s v="GEN"/>
    <s v="DMK"/>
    <x v="0"/>
    <s v="AIADMK"/>
    <x v="1"/>
  </r>
  <r>
    <n v="45"/>
    <s v="Kilvaithinankuppam"/>
    <s v="Vellore"/>
    <x v="1"/>
    <s v="SC"/>
    <s v="AIADMK"/>
    <x v="3"/>
    <s v="TVK"/>
    <x v="0"/>
  </r>
  <r>
    <n v="46"/>
    <s v="Gudiyatham"/>
    <s v="Vellore"/>
    <x v="1"/>
    <s v="SC"/>
    <s v="DMK"/>
    <x v="0"/>
    <s v="TVK"/>
    <x v="0"/>
  </r>
  <r>
    <n v="47"/>
    <s v="Vaniayambadi"/>
    <s v="Vellore"/>
    <x v="1"/>
    <s v="GEN"/>
    <s v="AIADMK"/>
    <x v="3"/>
    <s v="IUML"/>
    <x v="3"/>
  </r>
  <r>
    <n v="48"/>
    <s v="Ambur"/>
    <s v="Vellore"/>
    <x v="1"/>
    <s v="GEN"/>
    <s v="DMK"/>
    <x v="0"/>
    <s v="DMK"/>
    <x v="2"/>
  </r>
  <r>
    <n v="49"/>
    <s v="Jolarpet"/>
    <s v="Vellore"/>
    <x v="1"/>
    <s v="GEN"/>
    <s v="DMK"/>
    <x v="0"/>
    <s v="AIADMK"/>
    <x v="1"/>
  </r>
  <r>
    <n v="50"/>
    <s v="Tiruppattur"/>
    <s v="Vellore"/>
    <x v="1"/>
    <s v="GEN"/>
    <s v="DMK"/>
    <x v="0"/>
    <s v="TVK"/>
    <x v="0"/>
  </r>
  <r>
    <n v="51"/>
    <s v="Uthangarai"/>
    <s v="Krishnagiri"/>
    <x v="1"/>
    <s v="SC"/>
    <s v="AIADMK"/>
    <x v="3"/>
    <s v="TVK"/>
    <x v="0"/>
  </r>
  <r>
    <n v="52"/>
    <s v="Bargur"/>
    <s v="Krishnagiri"/>
    <x v="1"/>
    <s v="GEN"/>
    <s v="DMK"/>
    <x v="0"/>
    <s v="AIADMK"/>
    <x v="1"/>
  </r>
  <r>
    <n v="53"/>
    <s v="Krishnagiri"/>
    <s v="Krishnagiri"/>
    <x v="1"/>
    <s v="GEN"/>
    <s v="AIADMK"/>
    <x v="3"/>
    <s v="TVK"/>
    <x v="0"/>
  </r>
  <r>
    <n v="54"/>
    <s v="Veppanahalli"/>
    <s v="Krishnagiri"/>
    <x v="1"/>
    <s v="GEN"/>
    <s v="AIADMK"/>
    <x v="3"/>
    <s v="DMK"/>
    <x v="2"/>
  </r>
  <r>
    <n v="55"/>
    <s v="Hosur"/>
    <s v="Krishnagiri"/>
    <x v="1"/>
    <s v="GEN"/>
    <s v="DMK"/>
    <x v="0"/>
    <s v="AIADMK"/>
    <x v="1"/>
  </r>
  <r>
    <n v="56"/>
    <s v="Thalli"/>
    <s v="Krishnagiri"/>
    <x v="1"/>
    <s v="GEN"/>
    <s v="CPI"/>
    <x v="2"/>
    <s v="CPI"/>
    <x v="3"/>
  </r>
  <r>
    <n v="57"/>
    <s v="Palacode"/>
    <s v="Dharmapuri"/>
    <x v="1"/>
    <s v="GEN"/>
    <s v="AIADMK"/>
    <x v="3"/>
    <s v="AIADMK"/>
    <x v="1"/>
  </r>
  <r>
    <n v="58"/>
    <s v="Pennagaram"/>
    <s v="Dharmapuri"/>
    <x v="1"/>
    <s v="GEN"/>
    <s v="PMK"/>
    <x v="4"/>
    <s v="TVK"/>
    <x v="0"/>
  </r>
  <r>
    <n v="59"/>
    <s v="Dharmapuri"/>
    <s v="Dharmapuri"/>
    <x v="1"/>
    <s v="GEN"/>
    <s v="PMK"/>
    <x v="4"/>
    <s v="PMK"/>
    <x v="4"/>
  </r>
  <r>
    <n v="60"/>
    <s v="Pappireddippatti"/>
    <s v="Dharmapuri"/>
    <x v="1"/>
    <s v="GEN"/>
    <s v="AIADMK"/>
    <x v="3"/>
    <s v="AIADMK"/>
    <x v="1"/>
  </r>
  <r>
    <n v="61"/>
    <s v="Harur"/>
    <s v="Dharmapuri"/>
    <x v="1"/>
    <s v="SC"/>
    <s v="AIADMK"/>
    <x v="3"/>
    <s v="AIADMK"/>
    <x v="1"/>
  </r>
  <r>
    <n v="62"/>
    <s v="Chengam"/>
    <s v="Tiruvannamalai"/>
    <x v="1"/>
    <s v="SC"/>
    <s v="DMK"/>
    <x v="0"/>
    <s v="AIADMK"/>
    <x v="1"/>
  </r>
  <r>
    <n v="63"/>
    <s v="Tiruvannamalai"/>
    <s v="Tiruvannamalai"/>
    <x v="1"/>
    <s v="GEN"/>
    <s v="DMK"/>
    <x v="0"/>
    <s v="DMK"/>
    <x v="2"/>
  </r>
  <r>
    <n v="64"/>
    <s v="Kilpennathur"/>
    <s v="Tiruvannamalai"/>
    <x v="1"/>
    <s v="GEN"/>
    <s v="DMK"/>
    <x v="0"/>
    <s v="AIADMK"/>
    <x v="1"/>
  </r>
  <r>
    <n v="65"/>
    <s v="Kalasapakkam"/>
    <s v="Tiruvannamalai"/>
    <x v="1"/>
    <s v="GEN"/>
    <s v="DMK"/>
    <x v="0"/>
    <s v="AIADMK"/>
    <x v="1"/>
  </r>
  <r>
    <n v="66"/>
    <s v="Polur"/>
    <s v="Tiruvannamalai"/>
    <x v="1"/>
    <s v="GEN"/>
    <s v="AIADMK"/>
    <x v="3"/>
    <s v="TVK"/>
    <x v="0"/>
  </r>
  <r>
    <n v="67"/>
    <s v="Arani"/>
    <s v="Tiruvannamalai"/>
    <x v="1"/>
    <s v="GEN"/>
    <s v="AIADMK"/>
    <x v="3"/>
    <s v="AIADMK"/>
    <x v="1"/>
  </r>
  <r>
    <n v="68"/>
    <s v="Cheyyar"/>
    <s v="Tiruvannamalai"/>
    <x v="1"/>
    <s v="GEN"/>
    <s v="DMK"/>
    <x v="0"/>
    <s v="AIADMK"/>
    <x v="1"/>
  </r>
  <r>
    <n v="69"/>
    <s v="Vandavasi"/>
    <s v="Tiruvannamalai"/>
    <x v="1"/>
    <s v="SC"/>
    <s v="DMK"/>
    <x v="0"/>
    <s v="DMK"/>
    <x v="2"/>
  </r>
  <r>
    <n v="70"/>
    <s v="Gingee"/>
    <s v="Villupuram"/>
    <x v="2"/>
    <s v="GEN"/>
    <s v="DMK"/>
    <x v="0"/>
    <s v="PMK"/>
    <x v="4"/>
  </r>
  <r>
    <n v="71"/>
    <s v="Mailam"/>
    <s v="Villupuram"/>
    <x v="2"/>
    <s v="GEN"/>
    <s v="PMK"/>
    <x v="4"/>
    <s v="AIADMK"/>
    <x v="1"/>
  </r>
  <r>
    <n v="72"/>
    <s v="Tindivanam"/>
    <s v="Villupuram"/>
    <x v="2"/>
    <s v="SC"/>
    <s v="AIADMK"/>
    <x v="3"/>
    <s v="VCK"/>
    <x v="3"/>
  </r>
  <r>
    <n v="73"/>
    <s v="Vanur"/>
    <s v="Villupuram"/>
    <x v="2"/>
    <s v="SC"/>
    <s v="AIADMK"/>
    <x v="3"/>
    <s v="DMK"/>
    <x v="2"/>
  </r>
  <r>
    <n v="74"/>
    <s v="Villupuram"/>
    <s v="Villupuram"/>
    <x v="2"/>
    <s v="GEN"/>
    <s v="DMK"/>
    <x v="0"/>
    <s v="DMK"/>
    <x v="2"/>
  </r>
  <r>
    <n v="75"/>
    <s v="Vikravandi"/>
    <s v="Villupuram"/>
    <x v="2"/>
    <s v="GEN"/>
    <s v="DMK"/>
    <x v="0"/>
    <s v="PMK"/>
    <x v="4"/>
  </r>
  <r>
    <n v="76"/>
    <s v="Tirukkoyilur"/>
    <s v="Villupuram"/>
    <x v="2"/>
    <s v="GEN"/>
    <s v="DMK"/>
    <x v="0"/>
    <s v="AIADMK"/>
    <x v="1"/>
  </r>
  <r>
    <n v="77"/>
    <s v="Ulundurpet"/>
    <s v="Villupuram"/>
    <x v="2"/>
    <s v="GEN"/>
    <s v="DMK"/>
    <x v="0"/>
    <s v="DMK"/>
    <x v="2"/>
  </r>
  <r>
    <n v="78"/>
    <s v="Rishivandiam"/>
    <s v="Villupuram"/>
    <x v="2"/>
    <s v="GEN"/>
    <s v="DMK"/>
    <x v="0"/>
    <s v="DMK"/>
    <x v="2"/>
  </r>
  <r>
    <n v="79"/>
    <s v="Sankarapuram"/>
    <s v="Villupuram"/>
    <x v="2"/>
    <s v="GEN"/>
    <s v="DMK"/>
    <x v="0"/>
    <s v="AIADMK"/>
    <x v="1"/>
  </r>
  <r>
    <n v="80"/>
    <s v="Kallakurichi"/>
    <s v="Villupuram"/>
    <x v="2"/>
    <s v="SC"/>
    <s v="AIADMK"/>
    <x v="3"/>
    <s v="TVK"/>
    <x v="0"/>
  </r>
  <r>
    <n v="81"/>
    <s v="Gangavalli"/>
    <s v="Salem"/>
    <x v="2"/>
    <s v="SC"/>
    <s v="AIADMK"/>
    <x v="3"/>
    <s v="AIADMK"/>
    <x v="1"/>
  </r>
  <r>
    <n v="82"/>
    <s v="Attur"/>
    <s v="Salem"/>
    <x v="2"/>
    <s v="SC"/>
    <s v="AIADMK"/>
    <x v="3"/>
    <s v="AIADMK"/>
    <x v="1"/>
  </r>
  <r>
    <n v="83"/>
    <s v="Yercaud"/>
    <s v="Salem"/>
    <x v="2"/>
    <s v="ST"/>
    <s v="AIADMK"/>
    <x v="3"/>
    <s v="AIADMK"/>
    <x v="1"/>
  </r>
  <r>
    <n v="84"/>
    <s v="Omalur"/>
    <s v="Salem"/>
    <x v="2"/>
    <s v="GEN"/>
    <s v="AIADMK"/>
    <x v="3"/>
    <s v="AIADMK"/>
    <x v="1"/>
  </r>
  <r>
    <n v="85"/>
    <s v="Mettur"/>
    <s v="Salem"/>
    <x v="2"/>
    <s v="GEN"/>
    <s v="PMK"/>
    <x v="4"/>
    <s v="AIADMK"/>
    <x v="1"/>
  </r>
  <r>
    <n v="86"/>
    <s v="Edapadi"/>
    <s v="Salem"/>
    <x v="2"/>
    <s v="GEN"/>
    <s v="AIADMK"/>
    <x v="3"/>
    <s v="AIADMK"/>
    <x v="1"/>
  </r>
  <r>
    <n v="87"/>
    <s v="Sankari"/>
    <s v="Salem"/>
    <x v="2"/>
    <s v="GEN"/>
    <s v="AIADMK"/>
    <x v="3"/>
    <s v="AIADMK"/>
    <x v="1"/>
  </r>
  <r>
    <n v="88"/>
    <s v="Salem (West)"/>
    <s v="Salem"/>
    <x v="2"/>
    <s v="GEN"/>
    <s v="PMK"/>
    <x v="4"/>
    <s v="TVK"/>
    <x v="0"/>
  </r>
  <r>
    <n v="89"/>
    <s v="Salem (North)"/>
    <s v="Salem"/>
    <x v="2"/>
    <s v="GEN"/>
    <s v="DMK"/>
    <x v="0"/>
    <s v="TVK"/>
    <x v="0"/>
  </r>
  <r>
    <n v="90"/>
    <s v="Salem (South)"/>
    <s v="Salem"/>
    <x v="2"/>
    <s v="GEN"/>
    <s v="AIADMK"/>
    <x v="3"/>
    <s v="TVK"/>
    <x v="0"/>
  </r>
  <r>
    <n v="91"/>
    <s v="Veerapandi"/>
    <s v="Salem"/>
    <x v="2"/>
    <s v="GEN"/>
    <s v="AIADMK"/>
    <x v="3"/>
    <s v="TVK"/>
    <x v="0"/>
  </r>
  <r>
    <n v="92"/>
    <s v="Rasipuram"/>
    <s v="Namakkal"/>
    <x v="2"/>
    <s v="SC"/>
    <s v="DMK"/>
    <x v="0"/>
    <s v="TVK"/>
    <x v="0"/>
  </r>
  <r>
    <n v="93"/>
    <s v="Sendamangalam"/>
    <s v="Namakkal"/>
    <x v="2"/>
    <s v="ST"/>
    <s v="DMK"/>
    <x v="0"/>
    <s v="TVK"/>
    <x v="0"/>
  </r>
  <r>
    <n v="94"/>
    <s v="Namakkal"/>
    <s v="Namakkal"/>
    <x v="2"/>
    <s v="GEN"/>
    <s v="DMK"/>
    <x v="0"/>
    <s v="TVK"/>
    <x v="0"/>
  </r>
  <r>
    <n v="95"/>
    <s v="Paramathi-Velur"/>
    <s v="Namakkal"/>
    <x v="2"/>
    <s v="GEN"/>
    <s v="AIADMK"/>
    <x v="3"/>
    <s v="AIADMK"/>
    <x v="1"/>
  </r>
  <r>
    <n v="96"/>
    <s v="Tiruchengode"/>
    <s v="Namakkal"/>
    <x v="2"/>
    <s v="GEN"/>
    <s v="DMK"/>
    <x v="0"/>
    <s v="TVK"/>
    <x v="0"/>
  </r>
  <r>
    <n v="97"/>
    <s v="Kumarapalayam"/>
    <s v="Namakkal"/>
    <x v="2"/>
    <s v="GEN"/>
    <s v="AIADMK"/>
    <x v="3"/>
    <s v="TVK"/>
    <x v="0"/>
  </r>
  <r>
    <n v="98"/>
    <s v="Erode (East)"/>
    <s v="Erode"/>
    <x v="3"/>
    <s v="GEN"/>
    <s v="INC"/>
    <x v="1"/>
    <s v="TVK"/>
    <x v="0"/>
  </r>
  <r>
    <n v="99"/>
    <s v="Erode (West)"/>
    <s v="Erode"/>
    <x v="3"/>
    <s v="GEN"/>
    <s v="DMK"/>
    <x v="0"/>
    <s v="TVK"/>
    <x v="0"/>
  </r>
  <r>
    <n v="100"/>
    <s v="Modakurichi"/>
    <s v="Erode"/>
    <x v="3"/>
    <s v="GEN"/>
    <s v="BJP"/>
    <x v="2"/>
    <s v="TVK"/>
    <x v="0"/>
  </r>
  <r>
    <n v="101"/>
    <s v="Dharapuram"/>
    <s v="Erode"/>
    <x v="3"/>
    <s v="SC"/>
    <s v="DMK"/>
    <x v="0"/>
    <s v="AIADMK"/>
    <x v="1"/>
  </r>
  <r>
    <n v="102"/>
    <s v="Kangayam"/>
    <s v="Erode"/>
    <x v="3"/>
    <s v="GEN"/>
    <s v="DMK"/>
    <x v="0"/>
    <s v="AIADMK"/>
    <x v="1"/>
  </r>
  <r>
    <n v="103"/>
    <s v="Perundurai"/>
    <s v="Erode"/>
    <x v="3"/>
    <s v="GEN"/>
    <s v="AIADMK"/>
    <x v="3"/>
    <s v="AIADMK"/>
    <x v="1"/>
  </r>
  <r>
    <n v="104"/>
    <s v="Bhavani"/>
    <s v="Erode"/>
    <x v="3"/>
    <s v="GEN"/>
    <s v="AIADMK"/>
    <x v="3"/>
    <s v="AIADMK"/>
    <x v="1"/>
  </r>
  <r>
    <n v="105"/>
    <s v="Anthiyur"/>
    <s v="Erode"/>
    <x v="3"/>
    <s v="GEN"/>
    <s v="DMK"/>
    <x v="0"/>
    <s v="AIADMK"/>
    <x v="1"/>
  </r>
  <r>
    <n v="106"/>
    <s v="Gobichettipalayam"/>
    <s v="Tirupur"/>
    <x v="3"/>
    <s v="GEN"/>
    <s v="AIADMK"/>
    <x v="3"/>
    <s v="TVK"/>
    <x v="0"/>
  </r>
  <r>
    <n v="107"/>
    <s v="Bhavanisagar"/>
    <s v="Tirupur"/>
    <x v="3"/>
    <s v="SC"/>
    <s v="AIADMK"/>
    <x v="3"/>
    <s v="TVK"/>
    <x v="0"/>
  </r>
  <r>
    <n v="108"/>
    <s v="Udhagamandalam"/>
    <s v="Tirupur"/>
    <x v="3"/>
    <s v="GEN"/>
    <s v="INC"/>
    <x v="1"/>
    <s v="BJP"/>
    <x v="3"/>
  </r>
  <r>
    <n v="109"/>
    <s v="Gudalur"/>
    <s v="Tirupur"/>
    <x v="3"/>
    <s v="SC"/>
    <s v="AIADMK"/>
    <x v="3"/>
    <s v="DMK"/>
    <x v="2"/>
  </r>
  <r>
    <n v="110"/>
    <s v="Coonoor"/>
    <s v="Tirupur"/>
    <x v="3"/>
    <s v="GEN"/>
    <s v="DMK"/>
    <x v="0"/>
    <s v="DMK"/>
    <x v="2"/>
  </r>
  <r>
    <n v="111"/>
    <s v="Mettupalayam"/>
    <s v="Tirupur"/>
    <x v="3"/>
    <s v="GEN"/>
    <s v="AIADMK"/>
    <x v="3"/>
    <s v="TVK"/>
    <x v="0"/>
  </r>
  <r>
    <n v="112"/>
    <s v="Avanashi"/>
    <s v="Tirupur"/>
    <x v="3"/>
    <s v="SC"/>
    <s v="AIADMK"/>
    <x v="3"/>
    <s v="TVK"/>
    <x v="0"/>
  </r>
  <r>
    <n v="113"/>
    <s v="Tiruppur (North)"/>
    <s v="Tirupur"/>
    <x v="3"/>
    <s v="GEN"/>
    <s v="AIADMK"/>
    <x v="3"/>
    <s v="TVK"/>
    <x v="0"/>
  </r>
  <r>
    <n v="114"/>
    <s v="Tiruppur (South)"/>
    <s v="Nilgiris"/>
    <x v="3"/>
    <s v="GEN"/>
    <s v="DMK"/>
    <x v="0"/>
    <s v="TVK"/>
    <x v="0"/>
  </r>
  <r>
    <n v="115"/>
    <s v="Palladam"/>
    <s v="Nilgiris"/>
    <x v="3"/>
    <s v="GEN"/>
    <s v="AIADMK"/>
    <x v="3"/>
    <s v="TVK"/>
    <x v="0"/>
  </r>
  <r>
    <n v="116"/>
    <s v="Sulur"/>
    <s v="Nilgiris"/>
    <x v="3"/>
    <s v="GEN"/>
    <s v="AIADMK"/>
    <x v="3"/>
    <s v="TVK"/>
    <x v="0"/>
  </r>
  <r>
    <n v="117"/>
    <s v="Kavundampalayam"/>
    <s v="Coimbatore"/>
    <x v="3"/>
    <s v="GEN"/>
    <s v="AIADMK"/>
    <x v="3"/>
    <s v="TVK"/>
    <x v="0"/>
  </r>
  <r>
    <n v="118"/>
    <s v="Coimbatore North"/>
    <s v="Coimbatore"/>
    <x v="3"/>
    <s v="GEN"/>
    <s v="AIADMK"/>
    <x v="3"/>
    <s v="TVK"/>
    <x v="0"/>
  </r>
  <r>
    <n v="119"/>
    <s v="Thondamuthur"/>
    <s v="Coimbatore"/>
    <x v="3"/>
    <s v="GEN"/>
    <s v="AIADMK"/>
    <x v="3"/>
    <s v="AIADMK"/>
    <x v="1"/>
  </r>
  <r>
    <n v="120"/>
    <s v="Coimbatore South"/>
    <s v="Coimbatore"/>
    <x v="3"/>
    <s v="GEN"/>
    <s v="BJP"/>
    <x v="2"/>
    <s v="DMK"/>
    <x v="2"/>
  </r>
  <r>
    <n v="121"/>
    <s v="Singanallur"/>
    <s v="Coimbatore"/>
    <x v="3"/>
    <s v="GEN"/>
    <s v="AIADMK"/>
    <x v="3"/>
    <s v="TVK"/>
    <x v="0"/>
  </r>
  <r>
    <n v="122"/>
    <s v="Kinathukadavu"/>
    <s v="Coimbatore"/>
    <x v="3"/>
    <s v="GEN"/>
    <s v="AIADMK"/>
    <x v="3"/>
    <s v="TVK"/>
    <x v="0"/>
  </r>
  <r>
    <n v="123"/>
    <s v="Pollachi"/>
    <s v="Coimbatore"/>
    <x v="3"/>
    <s v="GEN"/>
    <s v="AIADMK"/>
    <x v="3"/>
    <s v="DMK"/>
    <x v="2"/>
  </r>
  <r>
    <n v="124"/>
    <s v="Valparai"/>
    <s v="Coimbatore"/>
    <x v="3"/>
    <s v="SC"/>
    <s v="AIADMK"/>
    <x v="3"/>
    <s v="DMK"/>
    <x v="2"/>
  </r>
  <r>
    <n v="125"/>
    <s v="Udumalpet"/>
    <s v="Coimbatore"/>
    <x v="3"/>
    <s v="GEN"/>
    <s v="AIADMK"/>
    <x v="3"/>
    <s v="DMK"/>
    <x v="2"/>
  </r>
  <r>
    <n v="126"/>
    <s v="Madathukulam"/>
    <s v="Coimbatore"/>
    <x v="3"/>
    <s v="GEN"/>
    <s v="AIADMK"/>
    <x v="3"/>
    <s v="DMK"/>
    <x v="2"/>
  </r>
  <r>
    <n v="127"/>
    <s v="Palani"/>
    <s v="Dindigul"/>
    <x v="4"/>
    <s v="GEN"/>
    <s v="DMK"/>
    <x v="0"/>
    <s v="AIADMK"/>
    <x v="1"/>
  </r>
  <r>
    <n v="128"/>
    <s v="Oddanchatram"/>
    <s v="Dindigul"/>
    <x v="4"/>
    <s v="GEN"/>
    <s v="DMK"/>
    <x v="0"/>
    <s v="DMK"/>
    <x v="2"/>
  </r>
  <r>
    <n v="129"/>
    <s v="Athoor"/>
    <s v="Dindigul"/>
    <x v="4"/>
    <s v="GEN"/>
    <s v="DMK"/>
    <x v="0"/>
    <s v="DMK"/>
    <x v="2"/>
  </r>
  <r>
    <n v="130"/>
    <s v="Nilakottai"/>
    <s v="Dindigul"/>
    <x v="4"/>
    <s v="SC"/>
    <s v="AIADMK"/>
    <x v="3"/>
    <s v="TVK"/>
    <x v="0"/>
  </r>
  <r>
    <n v="131"/>
    <s v="Natham"/>
    <s v="Dindigul"/>
    <x v="4"/>
    <s v="GEN"/>
    <s v="AIADMK"/>
    <x v="3"/>
    <s v="AIADMK"/>
    <x v="1"/>
  </r>
  <r>
    <n v="132"/>
    <s v="Dindigul"/>
    <s v="Dindigul"/>
    <x v="4"/>
    <s v="GEN"/>
    <s v="AIADMK"/>
    <x v="3"/>
    <s v="DMK"/>
    <x v="2"/>
  </r>
  <r>
    <n v="133"/>
    <s v="Vedasandur"/>
    <s v="Dindigul"/>
    <x v="4"/>
    <s v="GEN"/>
    <s v="DMK"/>
    <x v="0"/>
    <s v="DMK"/>
    <x v="2"/>
  </r>
  <r>
    <n v="134"/>
    <s v="Aravakurichi"/>
    <s v="Karur"/>
    <x v="3"/>
    <s v="GEN"/>
    <s v="DMK"/>
    <x v="0"/>
    <s v="DMK"/>
    <x v="2"/>
  </r>
  <r>
    <n v="135"/>
    <s v="Karur"/>
    <s v="Karur"/>
    <x v="3"/>
    <s v="GEN"/>
    <s v="DMK"/>
    <x v="0"/>
    <s v="AIADMK"/>
    <x v="1"/>
  </r>
  <r>
    <n v="136"/>
    <s v="Krishnarayapuram"/>
    <s v="Karur"/>
    <x v="3"/>
    <s v="SC"/>
    <s v="DMK"/>
    <x v="0"/>
    <s v="TVK"/>
    <x v="0"/>
  </r>
  <r>
    <n v="137"/>
    <s v="Kulithalai"/>
    <s v="Karur"/>
    <x v="3"/>
    <s v="GEN"/>
    <s v="DMK"/>
    <x v="0"/>
    <s v="DMK"/>
    <x v="2"/>
  </r>
  <r>
    <n v="138"/>
    <s v="Manapparai"/>
    <s v="Tiruchirappalli"/>
    <x v="5"/>
    <s v="GEN"/>
    <s v="DMK"/>
    <x v="0"/>
    <s v="TVK"/>
    <x v="0"/>
  </r>
  <r>
    <n v="139"/>
    <s v="Srirangam"/>
    <s v="Tiruchirappalli"/>
    <x v="5"/>
    <s v="GEN"/>
    <s v="DMK"/>
    <x v="0"/>
    <s v="TVK"/>
    <x v="0"/>
  </r>
  <r>
    <n v="140"/>
    <s v="Tiruchirapalli (West)"/>
    <s v="Tiruchirappalli"/>
    <x v="5"/>
    <s v="GEN"/>
    <s v="DMK"/>
    <x v="0"/>
    <s v="DMK"/>
    <x v="2"/>
  </r>
  <r>
    <n v="141"/>
    <s v="Tiruchirapalli (East)"/>
    <s v="Tiruchirappalli"/>
    <x v="5"/>
    <s v="GEN"/>
    <s v="DMK"/>
    <x v="0"/>
    <s v="TVK"/>
    <x v="0"/>
  </r>
  <r>
    <n v="142"/>
    <s v="Thiruverambur"/>
    <s v="Tiruchirappalli"/>
    <x v="5"/>
    <s v="GEN"/>
    <s v="DMK"/>
    <x v="0"/>
    <s v="TVK"/>
    <x v="0"/>
  </r>
  <r>
    <n v="143"/>
    <s v="Lalgudi"/>
    <s v="Tiruchirappalli"/>
    <x v="5"/>
    <s v="GEN"/>
    <s v="DMK"/>
    <x v="0"/>
    <s v="AIADMK"/>
    <x v="1"/>
  </r>
  <r>
    <n v="144"/>
    <s v="Manachanallur"/>
    <s v="Tiruchirappalli"/>
    <x v="5"/>
    <s v="GEN"/>
    <s v="DMK"/>
    <x v="0"/>
    <s v="DMK"/>
    <x v="2"/>
  </r>
  <r>
    <n v="145"/>
    <s v="Musiri"/>
    <s v="Tiruchirappalli"/>
    <x v="5"/>
    <s v="GEN"/>
    <s v="DMK"/>
    <x v="0"/>
    <s v="TVK"/>
    <x v="0"/>
  </r>
  <r>
    <n v="146"/>
    <s v="Thuraiyur"/>
    <s v="Tiruchirappalli"/>
    <x v="5"/>
    <s v="SC"/>
    <s v="DMK"/>
    <x v="0"/>
    <s v="TVK"/>
    <x v="0"/>
  </r>
  <r>
    <n v="147"/>
    <s v="Perambalur"/>
    <s v="Perambalur"/>
    <x v="2"/>
    <s v="SC"/>
    <s v="DMK"/>
    <x v="0"/>
    <s v="TVK"/>
    <x v="0"/>
  </r>
  <r>
    <n v="148"/>
    <s v="Kunnam"/>
    <s v="Perambalur"/>
    <x v="2"/>
    <s v="GEN"/>
    <s v="DMK"/>
    <x v="0"/>
    <s v="DMK"/>
    <x v="2"/>
  </r>
  <r>
    <n v="149"/>
    <s v="Ariyalur"/>
    <s v="Ariyalur"/>
    <x v="2"/>
    <s v="GEN"/>
    <s v="DMK"/>
    <x v="0"/>
    <s v="AIADMK"/>
    <x v="1"/>
  </r>
  <r>
    <n v="150"/>
    <s v="Jayankondam"/>
    <s v="Ariyalur"/>
    <x v="2"/>
    <s v="GEN"/>
    <s v="DMK"/>
    <x v="0"/>
    <s v="PMK"/>
    <x v="4"/>
  </r>
  <r>
    <n v="151"/>
    <s v="Tittakudi"/>
    <s v="Cuddalore"/>
    <x v="2"/>
    <s v="SC"/>
    <s v="DMK"/>
    <x v="0"/>
    <s v="DMK"/>
    <x v="2"/>
  </r>
  <r>
    <n v="152"/>
    <s v="Vriddhachalam"/>
    <s v="Cuddalore"/>
    <x v="2"/>
    <s v="GEN"/>
    <s v="INC"/>
    <x v="1"/>
    <s v="DMDK"/>
    <x v="3"/>
  </r>
  <r>
    <n v="153"/>
    <s v="Neyveli"/>
    <s v="Cuddalore"/>
    <x v="2"/>
    <s v="GEN"/>
    <s v="DMK"/>
    <x v="0"/>
    <s v="AIADMK"/>
    <x v="1"/>
  </r>
  <r>
    <n v="154"/>
    <s v="Panruti"/>
    <s v="Cuddalore"/>
    <x v="2"/>
    <s v="GEN"/>
    <s v="DMK"/>
    <x v="0"/>
    <s v="AIADMK"/>
    <x v="1"/>
  </r>
  <r>
    <n v="155"/>
    <s v="Cuddalore"/>
    <s v="Cuddalore"/>
    <x v="2"/>
    <s v="GEN"/>
    <s v="DMK"/>
    <x v="0"/>
    <s v="TVK"/>
    <x v="0"/>
  </r>
  <r>
    <n v="156"/>
    <s v="Kurinjipadi"/>
    <s v="Cuddalore"/>
    <x v="2"/>
    <s v="GEN"/>
    <s v="DMK"/>
    <x v="0"/>
    <s v="DMK"/>
    <x v="2"/>
  </r>
  <r>
    <n v="157"/>
    <s v="Bhuvanagiri"/>
    <s v="Cuddalore"/>
    <x v="2"/>
    <s v="GEN"/>
    <s v="AIADMK"/>
    <x v="3"/>
    <s v="AIADMK"/>
    <x v="1"/>
  </r>
  <r>
    <n v="158"/>
    <s v="Chidambaram"/>
    <s v="Cuddalore"/>
    <x v="2"/>
    <s v="GEN"/>
    <s v="AIADMK"/>
    <x v="3"/>
    <s v="DMK"/>
    <x v="2"/>
  </r>
  <r>
    <n v="159"/>
    <s v="Kattumannarkoil"/>
    <s v="Cuddalore"/>
    <x v="2"/>
    <s v="SC"/>
    <s v="VCK"/>
    <x v="2"/>
    <s v="VCK"/>
    <x v="3"/>
  </r>
  <r>
    <n v="160"/>
    <s v="Sirkali"/>
    <s v="Nagapattinam"/>
    <x v="5"/>
    <s v="SC"/>
    <s v="DMK"/>
    <x v="0"/>
    <s v="DMK"/>
    <x v="2"/>
  </r>
  <r>
    <n v="161"/>
    <s v="Mayiladuthurai"/>
    <s v="Nagapattinam"/>
    <x v="5"/>
    <s v="GEN"/>
    <s v="INC"/>
    <x v="1"/>
    <s v="INC"/>
    <x v="5"/>
  </r>
  <r>
    <n v="162"/>
    <s v="Poompuhar"/>
    <s v="Nagapattinam"/>
    <x v="5"/>
    <s v="GEN"/>
    <s v="DMK"/>
    <x v="0"/>
    <s v="DMK"/>
    <x v="2"/>
  </r>
  <r>
    <n v="163"/>
    <s v="Nagapattinam"/>
    <s v="Nagapattinam"/>
    <x v="5"/>
    <s v="GEN"/>
    <s v="VCK"/>
    <x v="2"/>
    <s v="DMK"/>
    <x v="2"/>
  </r>
  <r>
    <n v="164"/>
    <s v="Kilvelur"/>
    <s v="Nagapattinam"/>
    <x v="5"/>
    <s v="SC"/>
    <s v="CPI(M)"/>
    <x v="2"/>
    <s v="CPI(M)"/>
    <x v="3"/>
  </r>
  <r>
    <n v="165"/>
    <s v="Vedaranyam"/>
    <s v="Nagapattinam"/>
    <x v="5"/>
    <s v="GEN"/>
    <s v="AIADMK"/>
    <x v="3"/>
    <s v="AIADMK"/>
    <x v="1"/>
  </r>
  <r>
    <n v="166"/>
    <s v="Thiruthuraipundi"/>
    <s v="Tiruvarur"/>
    <x v="5"/>
    <s v="SC"/>
    <s v="CPI"/>
    <x v="2"/>
    <s v="CPI"/>
    <x v="3"/>
  </r>
  <r>
    <n v="167"/>
    <s v="Mannargudi"/>
    <s v="Tiruvarur"/>
    <x v="5"/>
    <s v="GEN"/>
    <s v="DMK"/>
    <x v="0"/>
    <s v="AMMK"/>
    <x v="3"/>
  </r>
  <r>
    <n v="168"/>
    <s v="Thiruvarur"/>
    <s v="Tiruvarur"/>
    <x v="5"/>
    <s v="GEN"/>
    <s v="DMK"/>
    <x v="0"/>
    <s v="DMK"/>
    <x v="2"/>
  </r>
  <r>
    <n v="169"/>
    <s v="Nannilam"/>
    <s v="Tiruvarur"/>
    <x v="5"/>
    <s v="GEN"/>
    <s v="AIADMK"/>
    <x v="3"/>
    <s v="AIADMK"/>
    <x v="1"/>
  </r>
  <r>
    <n v="170"/>
    <s v="Thiruvidamarudur"/>
    <s v="Thanjavur"/>
    <x v="5"/>
    <s v="SC"/>
    <s v="DMK"/>
    <x v="0"/>
    <s v="DMK"/>
    <x v="2"/>
  </r>
  <r>
    <n v="171"/>
    <s v="Kumbakonam"/>
    <s v="Thanjavur"/>
    <x v="5"/>
    <s v="GEN"/>
    <s v="DMK"/>
    <x v="0"/>
    <s v="TVK"/>
    <x v="0"/>
  </r>
  <r>
    <n v="172"/>
    <s v="Papanasam"/>
    <s v="Thanjavur"/>
    <x v="5"/>
    <s v="GEN"/>
    <s v="DMK"/>
    <x v="0"/>
    <s v="IUML"/>
    <x v="3"/>
  </r>
  <r>
    <n v="173"/>
    <s v="Thiruvaiyaru"/>
    <s v="Thanjavur"/>
    <x v="5"/>
    <s v="GEN"/>
    <s v="DMK"/>
    <x v="0"/>
    <s v="DMK"/>
    <x v="2"/>
  </r>
  <r>
    <n v="174"/>
    <s v="Thanjavur"/>
    <s v="Thanjavur"/>
    <x v="5"/>
    <s v="GEN"/>
    <s v="DMK"/>
    <x v="0"/>
    <s v="TVK"/>
    <x v="0"/>
  </r>
  <r>
    <n v="175"/>
    <s v="Orathanad"/>
    <s v="Thanjavur"/>
    <x v="5"/>
    <s v="GEN"/>
    <s v="AIADMK"/>
    <x v="3"/>
    <s v="DMK"/>
    <x v="2"/>
  </r>
  <r>
    <n v="176"/>
    <s v="Pattukkottai"/>
    <s v="Thanjavur"/>
    <x v="5"/>
    <s v="GEN"/>
    <s v="DMK"/>
    <x v="0"/>
    <s v="DMK"/>
    <x v="2"/>
  </r>
  <r>
    <n v="177"/>
    <s v="Peravurani"/>
    <s v="Thanjavur"/>
    <x v="5"/>
    <s v="GEN"/>
    <s v="DMK"/>
    <x v="0"/>
    <s v="DMK"/>
    <x v="2"/>
  </r>
  <r>
    <n v="178"/>
    <s v="Gandharvakottai"/>
    <s v="Pudukkottai"/>
    <x v="5"/>
    <s v="SC"/>
    <s v="CPI(M)"/>
    <x v="2"/>
    <s v="TVK"/>
    <x v="0"/>
  </r>
  <r>
    <n v="179"/>
    <s v="Viralimalai"/>
    <s v="Pudukkottai"/>
    <x v="5"/>
    <s v="GEN"/>
    <s v="AIADMK"/>
    <x v="3"/>
    <s v="AIADMK"/>
    <x v="1"/>
  </r>
  <r>
    <n v="180"/>
    <s v="Pudukkottai"/>
    <s v="Pudukkottai"/>
    <x v="5"/>
    <s v="GEN"/>
    <s v="DMK"/>
    <x v="0"/>
    <s v="DMK"/>
    <x v="2"/>
  </r>
  <r>
    <n v="181"/>
    <s v="Thirumayam"/>
    <s v="Pudukkottai"/>
    <x v="5"/>
    <s v="GEN"/>
    <s v="DMK"/>
    <x v="0"/>
    <s v="DMK"/>
    <x v="2"/>
  </r>
  <r>
    <n v="182"/>
    <s v="Alangudi"/>
    <s v="Pudukkottai"/>
    <x v="5"/>
    <s v="GEN"/>
    <s v="DMK"/>
    <x v="0"/>
    <s v="DMK"/>
    <x v="2"/>
  </r>
  <r>
    <n v="183"/>
    <s v="Arantangi"/>
    <s v="Pudukkottai"/>
    <x v="5"/>
    <s v="GEN"/>
    <s v="INC"/>
    <x v="1"/>
    <s v="TVK"/>
    <x v="0"/>
  </r>
  <r>
    <n v="184"/>
    <s v="Karaikudi"/>
    <s v="Sivaganga"/>
    <x v="4"/>
    <s v="GEN"/>
    <s v="INC"/>
    <x v="1"/>
    <s v="TVK"/>
    <x v="0"/>
  </r>
  <r>
    <n v="185"/>
    <s v="Tiruppattur"/>
    <s v="Sivaganga"/>
    <x v="4"/>
    <s v="GEN"/>
    <s v="DMK"/>
    <x v="0"/>
    <s v="TVK"/>
    <x v="0"/>
  </r>
  <r>
    <n v="186"/>
    <s v="Sivaganga"/>
    <s v="Sivaganga"/>
    <x v="4"/>
    <s v="GEN"/>
    <s v="AIADMK"/>
    <x v="3"/>
    <s v="TVK"/>
    <x v="0"/>
  </r>
  <r>
    <n v="187"/>
    <s v="Manamadurai"/>
    <s v="Sivaganga"/>
    <x v="4"/>
    <s v="SC"/>
    <s v="DMK"/>
    <x v="0"/>
    <s v="TVK"/>
    <x v="0"/>
  </r>
  <r>
    <n v="188"/>
    <s v="Melur"/>
    <s v="Madurai"/>
    <x v="4"/>
    <s v="GEN"/>
    <s v="AIADMK"/>
    <x v="3"/>
    <s v="INC"/>
    <x v="5"/>
  </r>
  <r>
    <n v="189"/>
    <s v="Madurai East"/>
    <s v="Madurai"/>
    <x v="4"/>
    <s v="GEN"/>
    <s v="DMK"/>
    <x v="0"/>
    <s v="TVK"/>
    <x v="0"/>
  </r>
  <r>
    <n v="190"/>
    <s v="Sholavandan"/>
    <s v="Madurai"/>
    <x v="4"/>
    <s v="SC"/>
    <s v="DMK"/>
    <x v="0"/>
    <s v="TVK"/>
    <x v="0"/>
  </r>
  <r>
    <n v="191"/>
    <s v="Madurai North"/>
    <s v="Madurai"/>
    <x v="4"/>
    <s v="GEN"/>
    <s v="DMK"/>
    <x v="0"/>
    <s v="TVK"/>
    <x v="0"/>
  </r>
  <r>
    <n v="192"/>
    <s v="Madurai South"/>
    <s v="Madurai"/>
    <x v="4"/>
    <s v="GEN"/>
    <s v="DMK"/>
    <x v="0"/>
    <s v="TVK"/>
    <x v="0"/>
  </r>
  <r>
    <n v="193"/>
    <s v="Madurai Central"/>
    <s v="Madurai"/>
    <x v="4"/>
    <s v="GEN"/>
    <s v="DMK"/>
    <x v="0"/>
    <s v="TVK"/>
    <x v="0"/>
  </r>
  <r>
    <n v="194"/>
    <s v="Madurai West"/>
    <s v="Madurai"/>
    <x v="4"/>
    <s v="GEN"/>
    <s v="AIADMK"/>
    <x v="3"/>
    <s v="TVK"/>
    <x v="0"/>
  </r>
  <r>
    <n v="195"/>
    <s v="Thiruparankundram"/>
    <s v="Madurai"/>
    <x v="4"/>
    <s v="GEN"/>
    <s v="AIADMK"/>
    <x v="3"/>
    <s v="TVK"/>
    <x v="0"/>
  </r>
  <r>
    <n v="196"/>
    <s v="Thirumangalam"/>
    <s v="Madurai"/>
    <x v="4"/>
    <s v="GEN"/>
    <s v="AIADMK"/>
    <x v="3"/>
    <s v="DMK"/>
    <x v="2"/>
  </r>
  <r>
    <n v="197"/>
    <s v="Usilampatti"/>
    <s v="Madurai"/>
    <x v="4"/>
    <s v="GEN"/>
    <s v="AIADMK"/>
    <x v="3"/>
    <s v="TVK"/>
    <x v="0"/>
  </r>
  <r>
    <n v="198"/>
    <s v="Andipatti"/>
    <s v="Theni"/>
    <x v="4"/>
    <s v="GEN"/>
    <s v="DMK"/>
    <x v="0"/>
    <s v="DMK"/>
    <x v="2"/>
  </r>
  <r>
    <n v="199"/>
    <s v="Periyakulam"/>
    <s v="Theni"/>
    <x v="4"/>
    <s v="SC"/>
    <s v="DMK"/>
    <x v="0"/>
    <s v="TVK"/>
    <x v="0"/>
  </r>
  <r>
    <n v="200"/>
    <s v="Bodinayakanur"/>
    <s v="Theni"/>
    <x v="4"/>
    <s v="GEN"/>
    <s v="AIADMK"/>
    <x v="3"/>
    <s v="DMK"/>
    <x v="2"/>
  </r>
  <r>
    <n v="201"/>
    <s v="Cumbum"/>
    <s v="Theni"/>
    <x v="4"/>
    <s v="GEN"/>
    <s v="DMK"/>
    <x v="0"/>
    <s v="TVK"/>
    <x v="0"/>
  </r>
  <r>
    <n v="202"/>
    <s v="Rajapalayam"/>
    <s v="Virudhunagar"/>
    <x v="4"/>
    <s v="GEN"/>
    <s v="DMK"/>
    <x v="0"/>
    <s v="TVK"/>
    <x v="0"/>
  </r>
  <r>
    <n v="203"/>
    <s v="Srivilliputhur"/>
    <s v="Virudhunagar"/>
    <x v="4"/>
    <s v="SC"/>
    <s v="AIADMK"/>
    <x v="3"/>
    <s v="TVK"/>
    <x v="0"/>
  </r>
  <r>
    <n v="204"/>
    <s v="Sattur"/>
    <s v="Virudhunagar"/>
    <x v="4"/>
    <s v="GEN"/>
    <s v="DMK"/>
    <x v="0"/>
    <s v="DMK"/>
    <x v="2"/>
  </r>
  <r>
    <n v="205"/>
    <s v="Sivakasi"/>
    <s v="Virudhunagar"/>
    <x v="4"/>
    <s v="GEN"/>
    <s v="INC"/>
    <x v="1"/>
    <s v="TVK"/>
    <x v="0"/>
  </r>
  <r>
    <n v="206"/>
    <s v="Virudhunagar"/>
    <s v="Virudhunagar"/>
    <x v="4"/>
    <s v="GEN"/>
    <s v="DMK"/>
    <x v="0"/>
    <s v="TVK"/>
    <x v="0"/>
  </r>
  <r>
    <n v="207"/>
    <s v="Aruppukottai"/>
    <s v="Virudhunagar"/>
    <x v="4"/>
    <s v="GEN"/>
    <s v="DMK"/>
    <x v="0"/>
    <s v="DMK"/>
    <x v="2"/>
  </r>
  <r>
    <n v="208"/>
    <s v="Tiruchuli"/>
    <s v="Virudhunagar"/>
    <x v="4"/>
    <s v="GEN"/>
    <s v="DMK"/>
    <x v="0"/>
    <s v="DMK"/>
    <x v="2"/>
  </r>
  <r>
    <n v="209"/>
    <s v="Paramakudi"/>
    <s v="Ramanathapuram"/>
    <x v="4"/>
    <s v="SC"/>
    <s v="DMK"/>
    <x v="0"/>
    <s v="DMK"/>
    <x v="2"/>
  </r>
  <r>
    <n v="210"/>
    <s v="Tiruvadanai"/>
    <s v="Ramanathapuram"/>
    <x v="4"/>
    <s v="GEN"/>
    <s v="INC"/>
    <x v="1"/>
    <s v="TVK"/>
    <x v="0"/>
  </r>
  <r>
    <n v="211"/>
    <s v="Ramanathapuram"/>
    <s v="Ramanathapuram"/>
    <x v="4"/>
    <s v="GEN"/>
    <s v="DMK"/>
    <x v="0"/>
    <s v="DMK"/>
    <x v="2"/>
  </r>
  <r>
    <n v="212"/>
    <s v="Mudukulathur"/>
    <s v="Ramanathapuram"/>
    <x v="4"/>
    <s v="GEN"/>
    <s v="DMK"/>
    <x v="0"/>
    <s v="DMK"/>
    <x v="2"/>
  </r>
  <r>
    <n v="213"/>
    <s v="Vilathikulam"/>
    <s v="Thoothukudi"/>
    <x v="4"/>
    <s v="GEN"/>
    <s v="DMK"/>
    <x v="0"/>
    <s v="DMK"/>
    <x v="2"/>
  </r>
  <r>
    <n v="214"/>
    <s v="Thoothukkudi"/>
    <s v="Thoothukudi"/>
    <x v="4"/>
    <s v="GEN"/>
    <s v="DMK"/>
    <x v="0"/>
    <s v="TVK"/>
    <x v="0"/>
  </r>
  <r>
    <n v="215"/>
    <s v="Tiruchendur"/>
    <s v="Thoothukudi"/>
    <x v="4"/>
    <s v="GEN"/>
    <s v="DMK"/>
    <x v="0"/>
    <s v="DMK"/>
    <x v="2"/>
  </r>
  <r>
    <n v="216"/>
    <s v="Srivaikuntam"/>
    <s v="Thoothukudi"/>
    <x v="4"/>
    <s v="GEN"/>
    <s v="INC"/>
    <x v="1"/>
    <s v="TVK"/>
    <x v="0"/>
  </r>
  <r>
    <n v="217"/>
    <s v="Ottapidaram"/>
    <s v="Thoothukudi"/>
    <x v="4"/>
    <s v="SC"/>
    <s v="DMK"/>
    <x v="0"/>
    <s v="TVK"/>
    <x v="0"/>
  </r>
  <r>
    <n v="218"/>
    <s v="Kovilpatti"/>
    <s v="Thoothukudi"/>
    <x v="4"/>
    <s v="GEN"/>
    <s v="AIADMK"/>
    <x v="3"/>
    <s v="DMK"/>
    <x v="2"/>
  </r>
  <r>
    <n v="219"/>
    <s v="Sankarankovil"/>
    <s v="Tirunelveli"/>
    <x v="4"/>
    <s v="SC"/>
    <s v="DMK"/>
    <x v="0"/>
    <s v="AIADMK"/>
    <x v="1"/>
  </r>
  <r>
    <n v="220"/>
    <s v="Vasudevanallur"/>
    <s v="Tirunelveli"/>
    <x v="4"/>
    <s v="SC"/>
    <s v="DMK"/>
    <x v="0"/>
    <s v="DMK"/>
    <x v="2"/>
  </r>
  <r>
    <n v="221"/>
    <s v="Kadayanallur"/>
    <s v="Tirunelveli"/>
    <x v="4"/>
    <s v="GEN"/>
    <s v="AIADMK"/>
    <x v="3"/>
    <s v="DMK"/>
    <x v="2"/>
  </r>
  <r>
    <n v="222"/>
    <s v="Tenkasi"/>
    <s v="Tirunelveli"/>
    <x v="4"/>
    <s v="GEN"/>
    <s v="INC"/>
    <x v="1"/>
    <s v="DMK"/>
    <x v="2"/>
  </r>
  <r>
    <n v="223"/>
    <s v="Alangulam"/>
    <s v="Tirunelveli"/>
    <x v="4"/>
    <s v="GEN"/>
    <s v="AIADMK"/>
    <x v="3"/>
    <s v="DMK"/>
    <x v="2"/>
  </r>
  <r>
    <n v="224"/>
    <s v="Tirunelveli"/>
    <s v="Tirunelveli"/>
    <x v="4"/>
    <s v="GEN"/>
    <s v="BJP"/>
    <x v="2"/>
    <s v="TVK"/>
    <x v="0"/>
  </r>
  <r>
    <n v="225"/>
    <s v="Ambasamudram"/>
    <s v="Tirunelveli"/>
    <x v="4"/>
    <s v="GEN"/>
    <s v="AIADMK"/>
    <x v="3"/>
    <s v="AIADMK"/>
    <x v="1"/>
  </r>
  <r>
    <n v="226"/>
    <s v="Palayamcottai"/>
    <s v="Tirunelveli"/>
    <x v="4"/>
    <s v="GEN"/>
    <s v="DMK"/>
    <x v="0"/>
    <s v="DMK"/>
    <x v="2"/>
  </r>
  <r>
    <n v="227"/>
    <s v="Nanguneri"/>
    <s v="Tirunelveli"/>
    <x v="4"/>
    <s v="GEN"/>
    <s v="INC"/>
    <x v="1"/>
    <s v="TVK"/>
    <x v="0"/>
  </r>
  <r>
    <n v="228"/>
    <s v="Radhapuram"/>
    <s v="Tirunelveli"/>
    <x v="4"/>
    <s v="GEN"/>
    <s v="DMK"/>
    <x v="0"/>
    <s v="TVK"/>
    <x v="0"/>
  </r>
  <r>
    <n v="229"/>
    <s v="Kanniyakumari"/>
    <s v="Kanniyakumari"/>
    <x v="4"/>
    <s v="GEN"/>
    <s v="AIADMK"/>
    <x v="3"/>
    <s v="AIADMK"/>
    <x v="1"/>
  </r>
  <r>
    <n v="230"/>
    <s v="Nagercoil"/>
    <s v="Kanniyakumari"/>
    <x v="4"/>
    <s v="GEN"/>
    <s v="BJP"/>
    <x v="2"/>
    <s v="DMK"/>
    <x v="2"/>
  </r>
  <r>
    <n v="231"/>
    <s v="Colachel"/>
    <s v="Kanniyakumari"/>
    <x v="4"/>
    <s v="GEN"/>
    <s v="INC"/>
    <x v="1"/>
    <s v="INC"/>
    <x v="5"/>
  </r>
  <r>
    <n v="232"/>
    <s v="Padmanabhapuram"/>
    <s v="Kanniyakumari"/>
    <x v="4"/>
    <s v="GEN"/>
    <s v="DMK"/>
    <x v="0"/>
    <s v="CPI(M)"/>
    <x v="3"/>
  </r>
  <r>
    <n v="233"/>
    <s v="Vilavancode"/>
    <s v="Kanniyakumari"/>
    <x v="4"/>
    <s v="GEN"/>
    <s v="INC"/>
    <x v="1"/>
    <s v="INC"/>
    <x v="5"/>
  </r>
  <r>
    <n v="234"/>
    <s v="Killiyoor"/>
    <s v="Kanniyakumari"/>
    <x v="4"/>
    <s v="GEN"/>
    <s v="INC"/>
    <x v="1"/>
    <s v="INC"/>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EF4F71-94C2-478C-B17E-2648484BA47E}" name="PivotTable1" cacheId="2"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17" rowHeaderCaption="Region" colHeaderCaption="Parties">
  <location ref="K2:Q10" firstHeaderRow="1" firstDataRow="2" firstDataCol="1"/>
  <pivotFields count="9">
    <pivotField showAll="0"/>
    <pivotField showAll="0"/>
    <pivotField showAll="0"/>
    <pivotField axis="axisRow" showAll="0">
      <items count="7">
        <item x="2"/>
        <item x="0"/>
        <item x="5"/>
        <item x="3"/>
        <item x="1"/>
        <item x="4"/>
        <item t="default"/>
      </items>
    </pivotField>
    <pivotField showAll="0"/>
    <pivotField dataField="1" showAll="0"/>
    <pivotField axis="axisCol" showAll="0">
      <items count="6">
        <item x="3"/>
        <item x="0"/>
        <item x="1"/>
        <item x="2"/>
        <item x="4"/>
        <item t="default"/>
      </items>
    </pivotField>
    <pivotField showAll="0"/>
    <pivotField showAll="0"/>
  </pivotFields>
  <rowFields count="1">
    <field x="3"/>
  </rowFields>
  <rowItems count="7">
    <i>
      <x/>
    </i>
    <i>
      <x v="1"/>
    </i>
    <i>
      <x v="2"/>
    </i>
    <i>
      <x v="3"/>
    </i>
    <i>
      <x v="4"/>
    </i>
    <i>
      <x v="5"/>
    </i>
    <i t="grand">
      <x/>
    </i>
  </rowItems>
  <colFields count="1">
    <field x="6"/>
  </colFields>
  <colItems count="6">
    <i>
      <x/>
    </i>
    <i>
      <x v="1"/>
    </i>
    <i>
      <x v="2"/>
    </i>
    <i>
      <x v="3"/>
    </i>
    <i>
      <x v="4"/>
    </i>
    <i t="grand">
      <x/>
    </i>
  </colItems>
  <dataFields count="1">
    <dataField name="Count of Winner_2021" fld="5" subtotal="count" baseField="0" baseItem="0"/>
  </dataFields>
  <chartFormats count="25">
    <chartFormat chart="3" format="0" series="1">
      <pivotArea type="data" outline="0" fieldPosition="0">
        <references count="2">
          <reference field="4294967294" count="1" selected="0">
            <x v="0"/>
          </reference>
          <reference field="6" count="1" selected="0">
            <x v="0"/>
          </reference>
        </references>
      </pivotArea>
    </chartFormat>
    <chartFormat chart="3" format="1" series="1">
      <pivotArea type="data" outline="0" fieldPosition="0">
        <references count="2">
          <reference field="4294967294" count="1" selected="0">
            <x v="0"/>
          </reference>
          <reference field="6" count="1" selected="0">
            <x v="1"/>
          </reference>
        </references>
      </pivotArea>
    </chartFormat>
    <chartFormat chart="3" format="2" series="1">
      <pivotArea type="data" outline="0" fieldPosition="0">
        <references count="2">
          <reference field="4294967294" count="1" selected="0">
            <x v="0"/>
          </reference>
          <reference field="6" count="1" selected="0">
            <x v="2"/>
          </reference>
        </references>
      </pivotArea>
    </chartFormat>
    <chartFormat chart="3" format="3" series="1">
      <pivotArea type="data" outline="0" fieldPosition="0">
        <references count="2">
          <reference field="4294967294" count="1" selected="0">
            <x v="0"/>
          </reference>
          <reference field="6" count="1" selected="0">
            <x v="3"/>
          </reference>
        </references>
      </pivotArea>
    </chartFormat>
    <chartFormat chart="3" format="4" series="1">
      <pivotArea type="data" outline="0" fieldPosition="0">
        <references count="2">
          <reference field="4294967294" count="1" selected="0">
            <x v="0"/>
          </reference>
          <reference field="6" count="1" selected="0">
            <x v="4"/>
          </reference>
        </references>
      </pivotArea>
    </chartFormat>
    <chartFormat chart="6" format="10" series="1">
      <pivotArea type="data" outline="0" fieldPosition="0">
        <references count="2">
          <reference field="4294967294" count="1" selected="0">
            <x v="0"/>
          </reference>
          <reference field="6" count="1" selected="0">
            <x v="0"/>
          </reference>
        </references>
      </pivotArea>
    </chartFormat>
    <chartFormat chart="6" format="11" series="1">
      <pivotArea type="data" outline="0" fieldPosition="0">
        <references count="2">
          <reference field="4294967294" count="1" selected="0">
            <x v="0"/>
          </reference>
          <reference field="6" count="1" selected="0">
            <x v="1"/>
          </reference>
        </references>
      </pivotArea>
    </chartFormat>
    <chartFormat chart="6" format="12" series="1">
      <pivotArea type="data" outline="0" fieldPosition="0">
        <references count="2">
          <reference field="4294967294" count="1" selected="0">
            <x v="0"/>
          </reference>
          <reference field="6" count="1" selected="0">
            <x v="2"/>
          </reference>
        </references>
      </pivotArea>
    </chartFormat>
    <chartFormat chart="6" format="13" series="1">
      <pivotArea type="data" outline="0" fieldPosition="0">
        <references count="2">
          <reference field="4294967294" count="1" selected="0">
            <x v="0"/>
          </reference>
          <reference field="6" count="1" selected="0">
            <x v="3"/>
          </reference>
        </references>
      </pivotArea>
    </chartFormat>
    <chartFormat chart="6" format="14" series="1">
      <pivotArea type="data" outline="0" fieldPosition="0">
        <references count="2">
          <reference field="4294967294" count="1" selected="0">
            <x v="0"/>
          </reference>
          <reference field="6" count="1" selected="0">
            <x v="4"/>
          </reference>
        </references>
      </pivotArea>
    </chartFormat>
    <chartFormat chart="9" format="20" series="1">
      <pivotArea type="data" outline="0" fieldPosition="0">
        <references count="2">
          <reference field="4294967294" count="1" selected="0">
            <x v="0"/>
          </reference>
          <reference field="6" count="1" selected="0">
            <x v="0"/>
          </reference>
        </references>
      </pivotArea>
    </chartFormat>
    <chartFormat chart="9" format="21" series="1">
      <pivotArea type="data" outline="0" fieldPosition="0">
        <references count="2">
          <reference field="4294967294" count="1" selected="0">
            <x v="0"/>
          </reference>
          <reference field="6" count="1" selected="0">
            <x v="1"/>
          </reference>
        </references>
      </pivotArea>
    </chartFormat>
    <chartFormat chart="9" format="22" series="1">
      <pivotArea type="data" outline="0" fieldPosition="0">
        <references count="2">
          <reference field="4294967294" count="1" selected="0">
            <x v="0"/>
          </reference>
          <reference field="6" count="1" selected="0">
            <x v="2"/>
          </reference>
        </references>
      </pivotArea>
    </chartFormat>
    <chartFormat chart="9" format="23" series="1">
      <pivotArea type="data" outline="0" fieldPosition="0">
        <references count="2">
          <reference field="4294967294" count="1" selected="0">
            <x v="0"/>
          </reference>
          <reference field="6" count="1" selected="0">
            <x v="3"/>
          </reference>
        </references>
      </pivotArea>
    </chartFormat>
    <chartFormat chart="9" format="24" series="1">
      <pivotArea type="data" outline="0" fieldPosition="0">
        <references count="2">
          <reference field="4294967294" count="1" selected="0">
            <x v="0"/>
          </reference>
          <reference field="6" count="1" selected="0">
            <x v="4"/>
          </reference>
        </references>
      </pivotArea>
    </chartFormat>
    <chartFormat chart="12" format="25" series="1">
      <pivotArea type="data" outline="0" fieldPosition="0">
        <references count="2">
          <reference field="4294967294" count="1" selected="0">
            <x v="0"/>
          </reference>
          <reference field="6" count="1" selected="0">
            <x v="0"/>
          </reference>
        </references>
      </pivotArea>
    </chartFormat>
    <chartFormat chart="12" format="26" series="1">
      <pivotArea type="data" outline="0" fieldPosition="0">
        <references count="2">
          <reference field="4294967294" count="1" selected="0">
            <x v="0"/>
          </reference>
          <reference field="6" count="1" selected="0">
            <x v="1"/>
          </reference>
        </references>
      </pivotArea>
    </chartFormat>
    <chartFormat chart="12" format="27" series="1">
      <pivotArea type="data" outline="0" fieldPosition="0">
        <references count="2">
          <reference field="4294967294" count="1" selected="0">
            <x v="0"/>
          </reference>
          <reference field="6" count="1" selected="0">
            <x v="2"/>
          </reference>
        </references>
      </pivotArea>
    </chartFormat>
    <chartFormat chart="12" format="28" series="1">
      <pivotArea type="data" outline="0" fieldPosition="0">
        <references count="2">
          <reference field="4294967294" count="1" selected="0">
            <x v="0"/>
          </reference>
          <reference field="6" count="1" selected="0">
            <x v="3"/>
          </reference>
        </references>
      </pivotArea>
    </chartFormat>
    <chartFormat chart="12" format="29" series="1">
      <pivotArea type="data" outline="0" fieldPosition="0">
        <references count="2">
          <reference field="4294967294" count="1" selected="0">
            <x v="0"/>
          </reference>
          <reference field="6" count="1" selected="0">
            <x v="4"/>
          </reference>
        </references>
      </pivotArea>
    </chartFormat>
    <chartFormat chart="13" format="30" series="1">
      <pivotArea type="data" outline="0" fieldPosition="0">
        <references count="2">
          <reference field="4294967294" count="1" selected="0">
            <x v="0"/>
          </reference>
          <reference field="6" count="1" selected="0">
            <x v="0"/>
          </reference>
        </references>
      </pivotArea>
    </chartFormat>
    <chartFormat chart="13" format="31" series="1">
      <pivotArea type="data" outline="0" fieldPosition="0">
        <references count="2">
          <reference field="4294967294" count="1" selected="0">
            <x v="0"/>
          </reference>
          <reference field="6" count="1" selected="0">
            <x v="1"/>
          </reference>
        </references>
      </pivotArea>
    </chartFormat>
    <chartFormat chart="13" format="32" series="1">
      <pivotArea type="data" outline="0" fieldPosition="0">
        <references count="2">
          <reference field="4294967294" count="1" selected="0">
            <x v="0"/>
          </reference>
          <reference field="6" count="1" selected="0">
            <x v="2"/>
          </reference>
        </references>
      </pivotArea>
    </chartFormat>
    <chartFormat chart="13" format="33" series="1">
      <pivotArea type="data" outline="0" fieldPosition="0">
        <references count="2">
          <reference field="4294967294" count="1" selected="0">
            <x v="0"/>
          </reference>
          <reference field="6" count="1" selected="0">
            <x v="3"/>
          </reference>
        </references>
      </pivotArea>
    </chartFormat>
    <chartFormat chart="13" format="34" series="1">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EC2784C-AB07-44E7-A939-B6650A0B3C06}" name="PivotTable2" cacheId="2"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16" rowHeaderCaption="Region" colHeaderCaption="Parties">
  <location ref="K12:R20" firstHeaderRow="1" firstDataRow="2" firstDataCol="1"/>
  <pivotFields count="9">
    <pivotField showAll="0"/>
    <pivotField showAll="0"/>
    <pivotField showAll="0"/>
    <pivotField axis="axisRow" showAll="0">
      <items count="7">
        <item x="2"/>
        <item x="0"/>
        <item x="5"/>
        <item x="3"/>
        <item x="1"/>
        <item x="4"/>
        <item t="default"/>
      </items>
    </pivotField>
    <pivotField showAll="0"/>
    <pivotField showAll="0"/>
    <pivotField showAll="0"/>
    <pivotField dataField="1" showAll="0"/>
    <pivotField axis="axisCol" showAll="0">
      <items count="7">
        <item x="1"/>
        <item x="2"/>
        <item x="5"/>
        <item x="3"/>
        <item x="4"/>
        <item x="0"/>
        <item t="default"/>
      </items>
    </pivotField>
  </pivotFields>
  <rowFields count="1">
    <field x="3"/>
  </rowFields>
  <rowItems count="7">
    <i>
      <x/>
    </i>
    <i>
      <x v="1"/>
    </i>
    <i>
      <x v="2"/>
    </i>
    <i>
      <x v="3"/>
    </i>
    <i>
      <x v="4"/>
    </i>
    <i>
      <x v="5"/>
    </i>
    <i t="grand">
      <x/>
    </i>
  </rowItems>
  <colFields count="1">
    <field x="8"/>
  </colFields>
  <colItems count="7">
    <i>
      <x/>
    </i>
    <i>
      <x v="1"/>
    </i>
    <i>
      <x v="2"/>
    </i>
    <i>
      <x v="3"/>
    </i>
    <i>
      <x v="4"/>
    </i>
    <i>
      <x v="5"/>
    </i>
    <i t="grand">
      <x/>
    </i>
  </colItems>
  <dataFields count="1">
    <dataField name="Count of Winner_2026" fld="7" subtotal="count" baseField="0" baseItem="0"/>
  </dataFields>
  <chartFormats count="45">
    <chartFormat chart="2" format="0" series="1">
      <pivotArea type="data" outline="0" fieldPosition="0">
        <references count="2">
          <reference field="4294967294" count="1" selected="0">
            <x v="0"/>
          </reference>
          <reference field="8" count="1" selected="0">
            <x v="0"/>
          </reference>
        </references>
      </pivotArea>
    </chartFormat>
    <chartFormat chart="2" format="1" series="1">
      <pivotArea type="data" outline="0" fieldPosition="0">
        <references count="2">
          <reference field="4294967294" count="1" selected="0">
            <x v="0"/>
          </reference>
          <reference field="8" count="1" selected="0">
            <x v="1"/>
          </reference>
        </references>
      </pivotArea>
    </chartFormat>
    <chartFormat chart="2" format="2" series="1">
      <pivotArea type="data" outline="0" fieldPosition="0">
        <references count="2">
          <reference field="4294967294" count="1" selected="0">
            <x v="0"/>
          </reference>
          <reference field="8" count="1" selected="0">
            <x v="2"/>
          </reference>
        </references>
      </pivotArea>
    </chartFormat>
    <chartFormat chart="2" format="3" series="1">
      <pivotArea type="data" outline="0" fieldPosition="0">
        <references count="2">
          <reference field="4294967294" count="1" selected="0">
            <x v="0"/>
          </reference>
          <reference field="8" count="1" selected="0">
            <x v="3"/>
          </reference>
        </references>
      </pivotArea>
    </chartFormat>
    <chartFormat chart="2" format="4" series="1">
      <pivotArea type="data" outline="0" fieldPosition="0">
        <references count="2">
          <reference field="4294967294" count="1" selected="0">
            <x v="0"/>
          </reference>
          <reference field="8" count="1" selected="0">
            <x v="4"/>
          </reference>
        </references>
      </pivotArea>
    </chartFormat>
    <chartFormat chart="2" format="5" series="1">
      <pivotArea type="data" outline="0" fieldPosition="0">
        <references count="2">
          <reference field="4294967294" count="1" selected="0">
            <x v="0"/>
          </reference>
          <reference field="8" count="1" selected="0">
            <x v="5"/>
          </reference>
        </references>
      </pivotArea>
    </chartFormat>
    <chartFormat chart="5" format="12" series="1">
      <pivotArea type="data" outline="0" fieldPosition="0">
        <references count="2">
          <reference field="4294967294" count="1" selected="0">
            <x v="0"/>
          </reference>
          <reference field="8" count="1" selected="0">
            <x v="0"/>
          </reference>
        </references>
      </pivotArea>
    </chartFormat>
    <chartFormat chart="5" format="13" series="1">
      <pivotArea type="data" outline="0" fieldPosition="0">
        <references count="2">
          <reference field="4294967294" count="1" selected="0">
            <x v="0"/>
          </reference>
          <reference field="8" count="1" selected="0">
            <x v="1"/>
          </reference>
        </references>
      </pivotArea>
    </chartFormat>
    <chartFormat chart="5" format="14" series="1">
      <pivotArea type="data" outline="0" fieldPosition="0">
        <references count="2">
          <reference field="4294967294" count="1" selected="0">
            <x v="0"/>
          </reference>
          <reference field="8" count="1" selected="0">
            <x v="2"/>
          </reference>
        </references>
      </pivotArea>
    </chartFormat>
    <chartFormat chart="5" format="15" series="1">
      <pivotArea type="data" outline="0" fieldPosition="0">
        <references count="2">
          <reference field="4294967294" count="1" selected="0">
            <x v="0"/>
          </reference>
          <reference field="8" count="1" selected="0">
            <x v="3"/>
          </reference>
        </references>
      </pivotArea>
    </chartFormat>
    <chartFormat chart="5" format="16" series="1">
      <pivotArea type="data" outline="0" fieldPosition="0">
        <references count="2">
          <reference field="4294967294" count="1" selected="0">
            <x v="0"/>
          </reference>
          <reference field="8" count="1" selected="0">
            <x v="4"/>
          </reference>
        </references>
      </pivotArea>
    </chartFormat>
    <chartFormat chart="5" format="17" series="1">
      <pivotArea type="data" outline="0" fieldPosition="0">
        <references count="2">
          <reference field="4294967294" count="1" selected="0">
            <x v="0"/>
          </reference>
          <reference field="8" count="1" selected="0">
            <x v="5"/>
          </reference>
        </references>
      </pivotArea>
    </chartFormat>
    <chartFormat chart="8" format="24" series="1">
      <pivotArea type="data" outline="0" fieldPosition="0">
        <references count="2">
          <reference field="4294967294" count="1" selected="0">
            <x v="0"/>
          </reference>
          <reference field="8" count="1" selected="0">
            <x v="0"/>
          </reference>
        </references>
      </pivotArea>
    </chartFormat>
    <chartFormat chart="8" format="25" series="1">
      <pivotArea type="data" outline="0" fieldPosition="0">
        <references count="2">
          <reference field="4294967294" count="1" selected="0">
            <x v="0"/>
          </reference>
          <reference field="8" count="1" selected="0">
            <x v="1"/>
          </reference>
        </references>
      </pivotArea>
    </chartFormat>
    <chartFormat chart="8" format="26" series="1">
      <pivotArea type="data" outline="0" fieldPosition="0">
        <references count="2">
          <reference field="4294967294" count="1" selected="0">
            <x v="0"/>
          </reference>
          <reference field="8" count="1" selected="0">
            <x v="2"/>
          </reference>
        </references>
      </pivotArea>
    </chartFormat>
    <chartFormat chart="8" format="27" series="1">
      <pivotArea type="data" outline="0" fieldPosition="0">
        <references count="2">
          <reference field="4294967294" count="1" selected="0">
            <x v="0"/>
          </reference>
          <reference field="8" count="1" selected="0">
            <x v="3"/>
          </reference>
        </references>
      </pivotArea>
    </chartFormat>
    <chartFormat chart="8" format="28" series="1">
      <pivotArea type="data" outline="0" fieldPosition="0">
        <references count="2">
          <reference field="4294967294" count="1" selected="0">
            <x v="0"/>
          </reference>
          <reference field="8" count="1" selected="0">
            <x v="4"/>
          </reference>
        </references>
      </pivotArea>
    </chartFormat>
    <chartFormat chart="8" format="29" series="1">
      <pivotArea type="data" outline="0" fieldPosition="0">
        <references count="2">
          <reference field="4294967294" count="1" selected="0">
            <x v="0"/>
          </reference>
          <reference field="8" count="1" selected="0">
            <x v="5"/>
          </reference>
        </references>
      </pivotArea>
    </chartFormat>
    <chartFormat chart="8" format="30">
      <pivotArea type="data" outline="0" fieldPosition="0">
        <references count="3">
          <reference field="4294967294" count="1" selected="0">
            <x v="0"/>
          </reference>
          <reference field="3" count="1" selected="0">
            <x v="2"/>
          </reference>
          <reference field="8" count="1" selected="0">
            <x v="5"/>
          </reference>
        </references>
      </pivotArea>
    </chartFormat>
    <chartFormat chart="8" format="31">
      <pivotArea type="data" outline="0" fieldPosition="0">
        <references count="3">
          <reference field="4294967294" count="1" selected="0">
            <x v="0"/>
          </reference>
          <reference field="3" count="1" selected="0">
            <x v="4"/>
          </reference>
          <reference field="8" count="1" selected="0">
            <x v="5"/>
          </reference>
        </references>
      </pivotArea>
    </chartFormat>
    <chartFormat chart="8" format="32">
      <pivotArea type="data" outline="0" fieldPosition="0">
        <references count="3">
          <reference field="4294967294" count="1" selected="0">
            <x v="0"/>
          </reference>
          <reference field="3" count="1" selected="0">
            <x v="0"/>
          </reference>
          <reference field="8" count="1" selected="0">
            <x v="5"/>
          </reference>
        </references>
      </pivotArea>
    </chartFormat>
    <chartFormat chart="8" format="33">
      <pivotArea type="data" outline="0" fieldPosition="0">
        <references count="3">
          <reference field="4294967294" count="1" selected="0">
            <x v="0"/>
          </reference>
          <reference field="3" count="1" selected="0">
            <x v="3"/>
          </reference>
          <reference field="8" count="1" selected="0">
            <x v="5"/>
          </reference>
        </references>
      </pivotArea>
    </chartFormat>
    <chartFormat chart="8" format="34">
      <pivotArea type="data" outline="0" fieldPosition="0">
        <references count="3">
          <reference field="4294967294" count="1" selected="0">
            <x v="0"/>
          </reference>
          <reference field="3" count="1" selected="0">
            <x v="5"/>
          </reference>
          <reference field="8" count="1" selected="0">
            <x v="5"/>
          </reference>
        </references>
      </pivotArea>
    </chartFormat>
    <chartFormat chart="11" format="35" series="1">
      <pivotArea type="data" outline="0" fieldPosition="0">
        <references count="2">
          <reference field="4294967294" count="1" selected="0">
            <x v="0"/>
          </reference>
          <reference field="8" count="1" selected="0">
            <x v="0"/>
          </reference>
        </references>
      </pivotArea>
    </chartFormat>
    <chartFormat chart="11" format="36" series="1">
      <pivotArea type="data" outline="0" fieldPosition="0">
        <references count="2">
          <reference field="4294967294" count="1" selected="0">
            <x v="0"/>
          </reference>
          <reference field="8" count="1" selected="0">
            <x v="1"/>
          </reference>
        </references>
      </pivotArea>
    </chartFormat>
    <chartFormat chart="11" format="37" series="1">
      <pivotArea type="data" outline="0" fieldPosition="0">
        <references count="2">
          <reference field="4294967294" count="1" selected="0">
            <x v="0"/>
          </reference>
          <reference field="8" count="1" selected="0">
            <x v="2"/>
          </reference>
        </references>
      </pivotArea>
    </chartFormat>
    <chartFormat chart="11" format="38" series="1">
      <pivotArea type="data" outline="0" fieldPosition="0">
        <references count="2">
          <reference field="4294967294" count="1" selected="0">
            <x v="0"/>
          </reference>
          <reference field="8" count="1" selected="0">
            <x v="3"/>
          </reference>
        </references>
      </pivotArea>
    </chartFormat>
    <chartFormat chart="11" format="39" series="1">
      <pivotArea type="data" outline="0" fieldPosition="0">
        <references count="2">
          <reference field="4294967294" count="1" selected="0">
            <x v="0"/>
          </reference>
          <reference field="8" count="1" selected="0">
            <x v="4"/>
          </reference>
        </references>
      </pivotArea>
    </chartFormat>
    <chartFormat chart="11" format="40" series="1">
      <pivotArea type="data" outline="0" fieldPosition="0">
        <references count="2">
          <reference field="4294967294" count="1" selected="0">
            <x v="0"/>
          </reference>
          <reference field="8" count="1" selected="0">
            <x v="5"/>
          </reference>
        </references>
      </pivotArea>
    </chartFormat>
    <chartFormat chart="11" format="41">
      <pivotArea type="data" outline="0" fieldPosition="0">
        <references count="3">
          <reference field="4294967294" count="1" selected="0">
            <x v="0"/>
          </reference>
          <reference field="3" count="1" selected="0">
            <x v="0"/>
          </reference>
          <reference field="8" count="1" selected="0">
            <x v="5"/>
          </reference>
        </references>
      </pivotArea>
    </chartFormat>
    <chartFormat chart="11" format="42">
      <pivotArea type="data" outline="0" fieldPosition="0">
        <references count="3">
          <reference field="4294967294" count="1" selected="0">
            <x v="0"/>
          </reference>
          <reference field="3" count="1" selected="0">
            <x v="2"/>
          </reference>
          <reference field="8" count="1" selected="0">
            <x v="5"/>
          </reference>
        </references>
      </pivotArea>
    </chartFormat>
    <chartFormat chart="11" format="43">
      <pivotArea type="data" outline="0" fieldPosition="0">
        <references count="3">
          <reference field="4294967294" count="1" selected="0">
            <x v="0"/>
          </reference>
          <reference field="3" count="1" selected="0">
            <x v="3"/>
          </reference>
          <reference field="8" count="1" selected="0">
            <x v="5"/>
          </reference>
        </references>
      </pivotArea>
    </chartFormat>
    <chartFormat chart="11" format="44">
      <pivotArea type="data" outline="0" fieldPosition="0">
        <references count="3">
          <reference field="4294967294" count="1" selected="0">
            <x v="0"/>
          </reference>
          <reference field="3" count="1" selected="0">
            <x v="4"/>
          </reference>
          <reference field="8" count="1" selected="0">
            <x v="5"/>
          </reference>
        </references>
      </pivotArea>
    </chartFormat>
    <chartFormat chart="11" format="45">
      <pivotArea type="data" outline="0" fieldPosition="0">
        <references count="3">
          <reference field="4294967294" count="1" selected="0">
            <x v="0"/>
          </reference>
          <reference field="3" count="1" selected="0">
            <x v="5"/>
          </reference>
          <reference field="8" count="1" selected="0">
            <x v="5"/>
          </reference>
        </references>
      </pivotArea>
    </chartFormat>
    <chartFormat chart="12" format="46" series="1">
      <pivotArea type="data" outline="0" fieldPosition="0">
        <references count="2">
          <reference field="4294967294" count="1" selected="0">
            <x v="0"/>
          </reference>
          <reference field="8" count="1" selected="0">
            <x v="0"/>
          </reference>
        </references>
      </pivotArea>
    </chartFormat>
    <chartFormat chart="12" format="47" series="1">
      <pivotArea type="data" outline="0" fieldPosition="0">
        <references count="2">
          <reference field="4294967294" count="1" selected="0">
            <x v="0"/>
          </reference>
          <reference field="8" count="1" selected="0">
            <x v="1"/>
          </reference>
        </references>
      </pivotArea>
    </chartFormat>
    <chartFormat chart="12" format="48" series="1">
      <pivotArea type="data" outline="0" fieldPosition="0">
        <references count="2">
          <reference field="4294967294" count="1" selected="0">
            <x v="0"/>
          </reference>
          <reference field="8" count="1" selected="0">
            <x v="2"/>
          </reference>
        </references>
      </pivotArea>
    </chartFormat>
    <chartFormat chart="12" format="49" series="1">
      <pivotArea type="data" outline="0" fieldPosition="0">
        <references count="2">
          <reference field="4294967294" count="1" selected="0">
            <x v="0"/>
          </reference>
          <reference field="8" count="1" selected="0">
            <x v="3"/>
          </reference>
        </references>
      </pivotArea>
    </chartFormat>
    <chartFormat chart="12" format="50" series="1">
      <pivotArea type="data" outline="0" fieldPosition="0">
        <references count="2">
          <reference field="4294967294" count="1" selected="0">
            <x v="0"/>
          </reference>
          <reference field="8" count="1" selected="0">
            <x v="4"/>
          </reference>
        </references>
      </pivotArea>
    </chartFormat>
    <chartFormat chart="12" format="51" series="1">
      <pivotArea type="data" outline="0" fieldPosition="0">
        <references count="2">
          <reference field="4294967294" count="1" selected="0">
            <x v="0"/>
          </reference>
          <reference field="8" count="1" selected="0">
            <x v="5"/>
          </reference>
        </references>
      </pivotArea>
    </chartFormat>
    <chartFormat chart="12" format="52">
      <pivotArea type="data" outline="0" fieldPosition="0">
        <references count="3">
          <reference field="4294967294" count="1" selected="0">
            <x v="0"/>
          </reference>
          <reference field="3" count="1" selected="0">
            <x v="0"/>
          </reference>
          <reference field="8" count="1" selected="0">
            <x v="5"/>
          </reference>
        </references>
      </pivotArea>
    </chartFormat>
    <chartFormat chart="12" format="53">
      <pivotArea type="data" outline="0" fieldPosition="0">
        <references count="3">
          <reference field="4294967294" count="1" selected="0">
            <x v="0"/>
          </reference>
          <reference field="3" count="1" selected="0">
            <x v="2"/>
          </reference>
          <reference field="8" count="1" selected="0">
            <x v="5"/>
          </reference>
        </references>
      </pivotArea>
    </chartFormat>
    <chartFormat chart="12" format="54">
      <pivotArea type="data" outline="0" fieldPosition="0">
        <references count="3">
          <reference field="4294967294" count="1" selected="0">
            <x v="0"/>
          </reference>
          <reference field="3" count="1" selected="0">
            <x v="3"/>
          </reference>
          <reference field="8" count="1" selected="0">
            <x v="5"/>
          </reference>
        </references>
      </pivotArea>
    </chartFormat>
    <chartFormat chart="12" format="55">
      <pivotArea type="data" outline="0" fieldPosition="0">
        <references count="3">
          <reference field="4294967294" count="1" selected="0">
            <x v="0"/>
          </reference>
          <reference field="3" count="1" selected="0">
            <x v="4"/>
          </reference>
          <reference field="8" count="1" selected="0">
            <x v="5"/>
          </reference>
        </references>
      </pivotArea>
    </chartFormat>
    <chartFormat chart="12" format="56">
      <pivotArea type="data" outline="0" fieldPosition="0">
        <references count="3">
          <reference field="4294967294" count="1" selected="0">
            <x v="0"/>
          </reference>
          <reference field="3" count="1" selected="0">
            <x v="5"/>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D2E8-A877-4E93-A038-C9D28BED6F14}">
  <dimension ref="A1:R235"/>
  <sheetViews>
    <sheetView showGridLines="0" workbookViewId="0">
      <selection activeCell="S8" sqref="S8"/>
    </sheetView>
  </sheetViews>
  <sheetFormatPr defaultRowHeight="14.4" x14ac:dyDescent="0.3"/>
  <cols>
    <col min="1" max="1" width="10.109375" bestFit="1" customWidth="1"/>
    <col min="2" max="2" width="21.44140625" bestFit="1" customWidth="1"/>
    <col min="3" max="3" width="15.6640625" bestFit="1" customWidth="1"/>
    <col min="4" max="4" width="13.21875" bestFit="1" customWidth="1"/>
    <col min="5" max="5" width="8" bestFit="1" customWidth="1"/>
    <col min="6" max="6" width="11.88671875" bestFit="1" customWidth="1"/>
    <col min="7" max="7" width="16.33203125" bestFit="1" customWidth="1"/>
    <col min="8" max="8" width="11.88671875" bestFit="1" customWidth="1"/>
    <col min="9" max="9" width="16.33203125" bestFit="1" customWidth="1"/>
    <col min="10" max="10" width="2.5546875" customWidth="1"/>
    <col min="11" max="11" width="20.109375" bestFit="1" customWidth="1"/>
    <col min="12" max="12" width="8.88671875" bestFit="1" customWidth="1"/>
    <col min="13" max="13" width="5.109375" bestFit="1" customWidth="1"/>
    <col min="14" max="14" width="4" bestFit="1" customWidth="1"/>
    <col min="15" max="15" width="6.5546875" bestFit="1" customWidth="1"/>
    <col min="16" max="16" width="5" bestFit="1" customWidth="1"/>
    <col min="17" max="17" width="5.21875" bestFit="1" customWidth="1"/>
    <col min="18" max="19" width="10.77734375" bestFit="1" customWidth="1"/>
    <col min="20" max="20" width="5" bestFit="1" customWidth="1"/>
    <col min="21" max="21" width="4.33203125" bestFit="1" customWidth="1"/>
    <col min="22" max="22" width="4.44140625" bestFit="1" customWidth="1"/>
    <col min="23" max="23" width="10.77734375" bestFit="1" customWidth="1"/>
  </cols>
  <sheetData>
    <row r="1" spans="1:18" x14ac:dyDescent="0.3">
      <c r="A1" s="5" t="s">
        <v>0</v>
      </c>
      <c r="B1" s="5" t="s">
        <v>1</v>
      </c>
      <c r="C1" s="5" t="s">
        <v>2</v>
      </c>
      <c r="D1" s="5" t="s">
        <v>3</v>
      </c>
      <c r="E1" s="5" t="s">
        <v>4</v>
      </c>
      <c r="F1" s="5" t="s">
        <v>260</v>
      </c>
      <c r="G1" s="5" t="s">
        <v>731</v>
      </c>
      <c r="H1" s="5" t="s">
        <v>261</v>
      </c>
      <c r="I1" s="5" t="s">
        <v>732</v>
      </c>
    </row>
    <row r="2" spans="1:18" x14ac:dyDescent="0.3">
      <c r="A2" s="4">
        <v>1</v>
      </c>
      <c r="B2" s="4" t="s">
        <v>5</v>
      </c>
      <c r="C2" s="4" t="s">
        <v>6</v>
      </c>
      <c r="D2" s="4" t="s">
        <v>7</v>
      </c>
      <c r="E2" s="4" t="s">
        <v>8</v>
      </c>
      <c r="F2" s="4" t="str">
        <f>VLOOKUP(B2,tn_2021_result!$A:$D,4,FALSE)</f>
        <v>DMK</v>
      </c>
      <c r="G2" s="4" t="str">
        <f>IF(OR(F2="DMK",F2="AIADMK",F2="INC",F2="PMK",F2="TVK"),F2,"Others")</f>
        <v>DMK</v>
      </c>
      <c r="H2" s="4" t="str">
        <f>VLOOKUP(B2,tn_2026_result!$A:$D,4,FALSE)</f>
        <v>TVK</v>
      </c>
      <c r="I2" s="4" t="str">
        <f>IF(OR(H2="DMK",H2="AIADMK",H2="INC",H2="PMK",H2="TVK"),H2,"Others")</f>
        <v>TVK</v>
      </c>
      <c r="K2" s="1" t="s">
        <v>729</v>
      </c>
      <c r="L2" s="1" t="s">
        <v>736</v>
      </c>
    </row>
    <row r="3" spans="1:18" x14ac:dyDescent="0.3">
      <c r="A3" s="4">
        <v>2</v>
      </c>
      <c r="B3" s="4" t="s">
        <v>9</v>
      </c>
      <c r="C3" s="4" t="s">
        <v>6</v>
      </c>
      <c r="D3" s="4" t="s">
        <v>7</v>
      </c>
      <c r="E3" s="4" t="s">
        <v>10</v>
      </c>
      <c r="F3" s="4" t="str">
        <f>VLOOKUP(B3,tn_2021_result!$A:$D,4,FALSE)</f>
        <v>INC</v>
      </c>
      <c r="G3" s="4" t="str">
        <f t="shared" ref="G3:G66" si="0">IF(OR(F3="DMK",F3="AIADMK",F3="INC",F3="PMK",F3="TVK"),F3,"Others")</f>
        <v>INC</v>
      </c>
      <c r="H3" s="4" t="str">
        <f>VLOOKUP(B3,tn_2026_result!$A:$D,4,FALSE)</f>
        <v>TVK</v>
      </c>
      <c r="I3" s="4" t="str">
        <f t="shared" ref="I3:I66" si="1">IF(OR(H3="DMK",H3="AIADMK",H3="INC",H3="PMK",H3="TVK"),H3,"Others")</f>
        <v>TVK</v>
      </c>
      <c r="K3" s="1" t="s">
        <v>735</v>
      </c>
      <c r="L3" t="s">
        <v>272</v>
      </c>
      <c r="M3" t="s">
        <v>267</v>
      </c>
      <c r="N3" t="s">
        <v>271</v>
      </c>
      <c r="O3" t="s">
        <v>733</v>
      </c>
      <c r="P3" t="s">
        <v>268</v>
      </c>
      <c r="Q3" t="s">
        <v>734</v>
      </c>
    </row>
    <row r="4" spans="1:18" x14ac:dyDescent="0.3">
      <c r="A4" s="4">
        <v>3</v>
      </c>
      <c r="B4" s="4" t="s">
        <v>11</v>
      </c>
      <c r="C4" s="4" t="s">
        <v>6</v>
      </c>
      <c r="D4" s="4" t="s">
        <v>7</v>
      </c>
      <c r="E4" s="4" t="s">
        <v>8</v>
      </c>
      <c r="F4" s="4" t="str">
        <f>VLOOKUP(B4,tn_2021_result!$A:$D,4,FALSE)</f>
        <v>DMK</v>
      </c>
      <c r="G4" s="4" t="str">
        <f t="shared" si="0"/>
        <v>DMK</v>
      </c>
      <c r="H4" s="4" t="str">
        <f>VLOOKUP(B4,tn_2026_result!$A:$D,4,FALSE)</f>
        <v>AIADMK</v>
      </c>
      <c r="I4" s="4" t="str">
        <f t="shared" si="1"/>
        <v>AIADMK</v>
      </c>
      <c r="K4" s="2" t="s">
        <v>83</v>
      </c>
      <c r="L4">
        <v>15</v>
      </c>
      <c r="M4">
        <v>21</v>
      </c>
      <c r="N4">
        <v>1</v>
      </c>
      <c r="O4">
        <v>1</v>
      </c>
      <c r="P4">
        <v>3</v>
      </c>
      <c r="Q4">
        <v>41</v>
      </c>
    </row>
    <row r="5" spans="1:18" x14ac:dyDescent="0.3">
      <c r="A5" s="4">
        <v>4</v>
      </c>
      <c r="B5" s="4" t="s">
        <v>12</v>
      </c>
      <c r="C5" s="4" t="s">
        <v>6</v>
      </c>
      <c r="D5" s="4" t="s">
        <v>7</v>
      </c>
      <c r="E5" s="4" t="s">
        <v>8</v>
      </c>
      <c r="F5" s="4" t="str">
        <f>VLOOKUP(B5,tn_2021_result!$A:$D,4,FALSE)</f>
        <v>DMK</v>
      </c>
      <c r="G5" s="4" t="str">
        <f t="shared" si="0"/>
        <v>DMK</v>
      </c>
      <c r="H5" s="4" t="str">
        <f>VLOOKUP(B5,tn_2026_result!$A:$D,4,FALSE)</f>
        <v>TVK</v>
      </c>
      <c r="I5" s="4" t="str">
        <f t="shared" si="1"/>
        <v>TVK</v>
      </c>
      <c r="K5" s="2" t="s">
        <v>7</v>
      </c>
      <c r="M5">
        <v>29</v>
      </c>
      <c r="N5">
        <v>3</v>
      </c>
      <c r="Q5">
        <v>32</v>
      </c>
    </row>
    <row r="6" spans="1:18" x14ac:dyDescent="0.3">
      <c r="A6" s="4">
        <v>5</v>
      </c>
      <c r="B6" s="4" t="s">
        <v>13</v>
      </c>
      <c r="C6" s="4" t="s">
        <v>6</v>
      </c>
      <c r="D6" s="4" t="s">
        <v>7</v>
      </c>
      <c r="E6" s="4" t="s">
        <v>10</v>
      </c>
      <c r="F6" s="4" t="str">
        <f>VLOOKUP(B6,tn_2021_result!$A:$D,4,FALSE)</f>
        <v>DMK</v>
      </c>
      <c r="G6" s="4" t="str">
        <f t="shared" si="0"/>
        <v>DMK</v>
      </c>
      <c r="H6" s="4" t="str">
        <f>VLOOKUP(B6,tn_2026_result!$A:$D,4,FALSE)</f>
        <v>TVK</v>
      </c>
      <c r="I6" s="4" t="str">
        <f t="shared" si="1"/>
        <v>TVK</v>
      </c>
      <c r="K6" s="2" t="s">
        <v>160</v>
      </c>
      <c r="L6">
        <v>4</v>
      </c>
      <c r="M6">
        <v>23</v>
      </c>
      <c r="N6">
        <v>2</v>
      </c>
      <c r="O6">
        <v>4</v>
      </c>
      <c r="Q6">
        <v>33</v>
      </c>
    </row>
    <row r="7" spans="1:18" x14ac:dyDescent="0.3">
      <c r="A7" s="4">
        <v>6</v>
      </c>
      <c r="B7" s="4" t="s">
        <v>14</v>
      </c>
      <c r="C7" s="4" t="s">
        <v>6</v>
      </c>
      <c r="D7" s="4" t="s">
        <v>7</v>
      </c>
      <c r="E7" s="4" t="s">
        <v>8</v>
      </c>
      <c r="F7" s="4" t="str">
        <f>VLOOKUP(B7,tn_2021_result!$A:$D,4,FALSE)</f>
        <v>DMK</v>
      </c>
      <c r="G7" s="4" t="str">
        <f t="shared" si="0"/>
        <v>DMK</v>
      </c>
      <c r="H7" s="4" t="str">
        <f>VLOOKUP(B7,tn_2026_result!$A:$D,4,FALSE)</f>
        <v>TVK</v>
      </c>
      <c r="I7" s="4" t="str">
        <f t="shared" si="1"/>
        <v>TVK</v>
      </c>
      <c r="K7" s="2" t="s">
        <v>114</v>
      </c>
      <c r="L7">
        <v>19</v>
      </c>
      <c r="M7">
        <v>10</v>
      </c>
      <c r="N7">
        <v>2</v>
      </c>
      <c r="O7">
        <v>2</v>
      </c>
      <c r="Q7">
        <v>33</v>
      </c>
    </row>
    <row r="8" spans="1:18" x14ac:dyDescent="0.3">
      <c r="A8" s="4">
        <v>7</v>
      </c>
      <c r="B8" s="4" t="s">
        <v>15</v>
      </c>
      <c r="C8" s="4" t="s">
        <v>6</v>
      </c>
      <c r="D8" s="4" t="s">
        <v>7</v>
      </c>
      <c r="E8" s="4" t="s">
        <v>8</v>
      </c>
      <c r="F8" s="4" t="str">
        <f>VLOOKUP(B8,tn_2021_result!$A:$D,4,FALSE)</f>
        <v>DMK</v>
      </c>
      <c r="G8" s="4" t="str">
        <f t="shared" si="0"/>
        <v>DMK</v>
      </c>
      <c r="H8" s="4" t="str">
        <f>VLOOKUP(B8,tn_2026_result!$A:$D,4,FALSE)</f>
        <v>TVK</v>
      </c>
      <c r="I8" s="4" t="str">
        <f t="shared" si="1"/>
        <v>TVK</v>
      </c>
      <c r="K8" s="2" t="s">
        <v>44</v>
      </c>
      <c r="L8">
        <v>12</v>
      </c>
      <c r="M8">
        <v>19</v>
      </c>
      <c r="N8">
        <v>1</v>
      </c>
      <c r="O8">
        <v>3</v>
      </c>
      <c r="P8">
        <v>2</v>
      </c>
      <c r="Q8">
        <v>37</v>
      </c>
    </row>
    <row r="9" spans="1:18" x14ac:dyDescent="0.3">
      <c r="A9" s="4">
        <v>8</v>
      </c>
      <c r="B9" s="4" t="s">
        <v>16</v>
      </c>
      <c r="C9" s="4" t="s">
        <v>6</v>
      </c>
      <c r="D9" s="4" t="s">
        <v>7</v>
      </c>
      <c r="E9" s="4" t="s">
        <v>8</v>
      </c>
      <c r="F9" s="4" t="str">
        <f>VLOOKUP(B9,tn_2021_result!$A:$D,4,FALSE)</f>
        <v>DMK</v>
      </c>
      <c r="G9" s="4" t="str">
        <f t="shared" si="0"/>
        <v>DMK</v>
      </c>
      <c r="H9" s="4" t="str">
        <f>VLOOKUP(B9,tn_2026_result!$A:$D,4,FALSE)</f>
        <v>TVK</v>
      </c>
      <c r="I9" s="4" t="str">
        <f t="shared" si="1"/>
        <v>TVK</v>
      </c>
      <c r="K9" s="2" t="s">
        <v>148</v>
      </c>
      <c r="L9">
        <v>16</v>
      </c>
      <c r="M9">
        <v>31</v>
      </c>
      <c r="N9">
        <v>9</v>
      </c>
      <c r="O9">
        <v>2</v>
      </c>
      <c r="Q9">
        <v>58</v>
      </c>
    </row>
    <row r="10" spans="1:18" x14ac:dyDescent="0.3">
      <c r="A10" s="4">
        <v>9</v>
      </c>
      <c r="B10" s="4" t="s">
        <v>17</v>
      </c>
      <c r="C10" s="4" t="s">
        <v>6</v>
      </c>
      <c r="D10" s="4" t="s">
        <v>7</v>
      </c>
      <c r="E10" s="4" t="s">
        <v>8</v>
      </c>
      <c r="F10" s="4" t="str">
        <f>VLOOKUP(B10,tn_2021_result!$A:$D,4,FALSE)</f>
        <v>DMK</v>
      </c>
      <c r="G10" s="4" t="str">
        <f t="shared" si="0"/>
        <v>DMK</v>
      </c>
      <c r="H10" s="4" t="str">
        <f>VLOOKUP(B10,tn_2026_result!$A:$D,4,FALSE)</f>
        <v>TVK</v>
      </c>
      <c r="I10" s="4" t="str">
        <f t="shared" si="1"/>
        <v>TVK</v>
      </c>
      <c r="K10" s="2" t="s">
        <v>734</v>
      </c>
      <c r="L10">
        <v>66</v>
      </c>
      <c r="M10">
        <v>133</v>
      </c>
      <c r="N10">
        <v>18</v>
      </c>
      <c r="O10">
        <v>12</v>
      </c>
      <c r="P10">
        <v>5</v>
      </c>
      <c r="Q10">
        <v>234</v>
      </c>
    </row>
    <row r="11" spans="1:18" x14ac:dyDescent="0.3">
      <c r="A11" s="4">
        <v>10</v>
      </c>
      <c r="B11" s="4" t="s">
        <v>18</v>
      </c>
      <c r="C11" s="4" t="s">
        <v>6</v>
      </c>
      <c r="D11" s="4" t="s">
        <v>7</v>
      </c>
      <c r="E11" s="4" t="s">
        <v>8</v>
      </c>
      <c r="F11" s="4" t="str">
        <f>VLOOKUP(B11,tn_2021_result!$A:$D,4,FALSE)</f>
        <v>DMK</v>
      </c>
      <c r="G11" s="4" t="str">
        <f t="shared" si="0"/>
        <v>DMK</v>
      </c>
      <c r="H11" s="4" t="str">
        <f>VLOOKUP(B11,tn_2026_result!$A:$D,4,FALSE)</f>
        <v>TVK</v>
      </c>
      <c r="I11" s="4" t="str">
        <f t="shared" si="1"/>
        <v>TVK</v>
      </c>
    </row>
    <row r="12" spans="1:18" x14ac:dyDescent="0.3">
      <c r="A12" s="4">
        <v>11</v>
      </c>
      <c r="B12" s="4" t="s">
        <v>19</v>
      </c>
      <c r="C12" s="4" t="s">
        <v>20</v>
      </c>
      <c r="D12" s="4" t="s">
        <v>7</v>
      </c>
      <c r="E12" s="4" t="s">
        <v>8</v>
      </c>
      <c r="F12" s="4" t="str">
        <f>VLOOKUP(B12,tn_2021_result!$A:$D,4,FALSE)</f>
        <v>DMK</v>
      </c>
      <c r="G12" s="4" t="str">
        <f t="shared" si="0"/>
        <v>DMK</v>
      </c>
      <c r="H12" s="4" t="str">
        <f>VLOOKUP(B12,tn_2026_result!$A:$D,4,FALSE)</f>
        <v>TVK</v>
      </c>
      <c r="I12" s="4" t="str">
        <f t="shared" si="1"/>
        <v>TVK</v>
      </c>
      <c r="K12" s="1" t="s">
        <v>730</v>
      </c>
      <c r="L12" s="1" t="s">
        <v>736</v>
      </c>
    </row>
    <row r="13" spans="1:18" x14ac:dyDescent="0.3">
      <c r="A13" s="4">
        <v>12</v>
      </c>
      <c r="B13" s="4" t="s">
        <v>21</v>
      </c>
      <c r="C13" s="4" t="s">
        <v>20</v>
      </c>
      <c r="D13" s="4" t="s">
        <v>7</v>
      </c>
      <c r="E13" s="4" t="s">
        <v>8</v>
      </c>
      <c r="F13" s="4" t="str">
        <f>VLOOKUP(B13,tn_2021_result!$A:$D,4,FALSE)</f>
        <v>DMK</v>
      </c>
      <c r="G13" s="4" t="str">
        <f t="shared" si="0"/>
        <v>DMK</v>
      </c>
      <c r="H13" s="4" t="str">
        <f>VLOOKUP(B13,tn_2026_result!$A:$D,4,FALSE)</f>
        <v>TVK</v>
      </c>
      <c r="I13" s="4" t="str">
        <f t="shared" si="1"/>
        <v>TVK</v>
      </c>
      <c r="K13" s="1" t="s">
        <v>735</v>
      </c>
      <c r="L13" t="s">
        <v>272</v>
      </c>
      <c r="M13" t="s">
        <v>267</v>
      </c>
      <c r="N13" t="s">
        <v>271</v>
      </c>
      <c r="O13" t="s">
        <v>733</v>
      </c>
      <c r="P13" t="s">
        <v>268</v>
      </c>
      <c r="Q13" t="s">
        <v>520</v>
      </c>
      <c r="R13" t="s">
        <v>734</v>
      </c>
    </row>
    <row r="14" spans="1:18" x14ac:dyDescent="0.3">
      <c r="A14" s="4">
        <v>13</v>
      </c>
      <c r="B14" s="4" t="s">
        <v>22</v>
      </c>
      <c r="C14" s="4" t="s">
        <v>20</v>
      </c>
      <c r="D14" s="4" t="s">
        <v>7</v>
      </c>
      <c r="E14" s="4" t="s">
        <v>8</v>
      </c>
      <c r="F14" s="4" t="str">
        <f>VLOOKUP(B14,tn_2021_result!$A:$D,4,FALSE)</f>
        <v>DMK</v>
      </c>
      <c r="G14" s="4" t="str">
        <f t="shared" si="0"/>
        <v>DMK</v>
      </c>
      <c r="H14" s="4" t="str">
        <f>VLOOKUP(B14,tn_2026_result!$A:$D,4,FALSE)</f>
        <v>TVK</v>
      </c>
      <c r="I14" s="4" t="str">
        <f t="shared" si="1"/>
        <v>TVK</v>
      </c>
      <c r="K14" s="2" t="s">
        <v>83</v>
      </c>
      <c r="L14">
        <v>15</v>
      </c>
      <c r="M14">
        <v>8</v>
      </c>
      <c r="O14">
        <v>3</v>
      </c>
      <c r="P14">
        <v>3</v>
      </c>
      <c r="Q14">
        <v>12</v>
      </c>
      <c r="R14">
        <v>41</v>
      </c>
    </row>
    <row r="15" spans="1:18" x14ac:dyDescent="0.3">
      <c r="A15" s="4">
        <v>14</v>
      </c>
      <c r="B15" s="4" t="s">
        <v>23</v>
      </c>
      <c r="C15" s="4" t="s">
        <v>20</v>
      </c>
      <c r="D15" s="4" t="s">
        <v>7</v>
      </c>
      <c r="E15" s="4" t="s">
        <v>8</v>
      </c>
      <c r="F15" s="4" t="str">
        <f>VLOOKUP(B15,tn_2021_result!$A:$D,4,FALSE)</f>
        <v>DMK</v>
      </c>
      <c r="G15" s="4" t="str">
        <f t="shared" si="0"/>
        <v>DMK</v>
      </c>
      <c r="H15" s="4" t="str">
        <f>VLOOKUP(B15,tn_2026_result!$A:$D,4,FALSE)</f>
        <v>TVK</v>
      </c>
      <c r="I15" s="4" t="str">
        <f t="shared" si="1"/>
        <v>TVK</v>
      </c>
      <c r="K15" s="2" t="s">
        <v>7</v>
      </c>
      <c r="L15">
        <v>1</v>
      </c>
      <c r="M15">
        <v>2</v>
      </c>
      <c r="Q15">
        <v>29</v>
      </c>
      <c r="R15">
        <v>32</v>
      </c>
    </row>
    <row r="16" spans="1:18" x14ac:dyDescent="0.3">
      <c r="A16" s="4">
        <v>15</v>
      </c>
      <c r="B16" s="4" t="s">
        <v>24</v>
      </c>
      <c r="C16" s="4" t="s">
        <v>20</v>
      </c>
      <c r="D16" s="4" t="s">
        <v>7</v>
      </c>
      <c r="E16" s="4" t="s">
        <v>10</v>
      </c>
      <c r="F16" s="4" t="str">
        <f>VLOOKUP(B16,tn_2021_result!$A:$D,4,FALSE)</f>
        <v>DMK</v>
      </c>
      <c r="G16" s="4" t="str">
        <f t="shared" si="0"/>
        <v>DMK</v>
      </c>
      <c r="H16" s="4" t="str">
        <f>VLOOKUP(B16,tn_2026_result!$A:$D,4,FALSE)</f>
        <v>TVK</v>
      </c>
      <c r="I16" s="4" t="str">
        <f t="shared" si="1"/>
        <v>TVK</v>
      </c>
      <c r="K16" s="2" t="s">
        <v>160</v>
      </c>
      <c r="L16">
        <v>4</v>
      </c>
      <c r="M16">
        <v>14</v>
      </c>
      <c r="N16">
        <v>1</v>
      </c>
      <c r="O16">
        <v>4</v>
      </c>
      <c r="Q16">
        <v>10</v>
      </c>
      <c r="R16">
        <v>33</v>
      </c>
    </row>
    <row r="17" spans="1:18" x14ac:dyDescent="0.3">
      <c r="A17" s="4">
        <v>16</v>
      </c>
      <c r="B17" s="4" t="s">
        <v>25</v>
      </c>
      <c r="C17" s="4" t="s">
        <v>20</v>
      </c>
      <c r="D17" s="4" t="s">
        <v>7</v>
      </c>
      <c r="E17" s="4" t="s">
        <v>10</v>
      </c>
      <c r="F17" s="4" t="str">
        <f>VLOOKUP(B17,tn_2021_result!$A:$D,4,FALSE)</f>
        <v>DMK</v>
      </c>
      <c r="G17" s="4" t="str">
        <f t="shared" si="0"/>
        <v>DMK</v>
      </c>
      <c r="H17" s="4" t="str">
        <f>VLOOKUP(B17,tn_2026_result!$A:$D,4,FALSE)</f>
        <v>TVK</v>
      </c>
      <c r="I17" s="4" t="str">
        <f t="shared" si="1"/>
        <v>TVK</v>
      </c>
      <c r="K17" s="2" t="s">
        <v>114</v>
      </c>
      <c r="L17">
        <v>7</v>
      </c>
      <c r="M17">
        <v>9</v>
      </c>
      <c r="O17">
        <v>1</v>
      </c>
      <c r="Q17">
        <v>16</v>
      </c>
      <c r="R17">
        <v>33</v>
      </c>
    </row>
    <row r="18" spans="1:18" x14ac:dyDescent="0.3">
      <c r="A18" s="4">
        <v>17</v>
      </c>
      <c r="B18" s="4" t="s">
        <v>26</v>
      </c>
      <c r="C18" s="4" t="s">
        <v>20</v>
      </c>
      <c r="D18" s="4" t="s">
        <v>7</v>
      </c>
      <c r="E18" s="4" t="s">
        <v>8</v>
      </c>
      <c r="F18" s="4" t="str">
        <f>VLOOKUP(B18,tn_2021_result!$A:$D,4,FALSE)</f>
        <v>DMK</v>
      </c>
      <c r="G18" s="4" t="str">
        <f t="shared" si="0"/>
        <v>DMK</v>
      </c>
      <c r="H18" s="4" t="str">
        <f>VLOOKUP(B18,tn_2026_result!$A:$D,4,FALSE)</f>
        <v>TVK</v>
      </c>
      <c r="I18" s="4" t="str">
        <f t="shared" si="1"/>
        <v>TVK</v>
      </c>
      <c r="K18" s="2" t="s">
        <v>44</v>
      </c>
      <c r="L18">
        <v>15</v>
      </c>
      <c r="M18">
        <v>4</v>
      </c>
      <c r="O18">
        <v>2</v>
      </c>
      <c r="P18">
        <v>1</v>
      </c>
      <c r="Q18">
        <v>15</v>
      </c>
      <c r="R18">
        <v>37</v>
      </c>
    </row>
    <row r="19" spans="1:18" x14ac:dyDescent="0.3">
      <c r="A19" s="4">
        <v>18</v>
      </c>
      <c r="B19" s="4" t="s">
        <v>27</v>
      </c>
      <c r="C19" s="4" t="s">
        <v>20</v>
      </c>
      <c r="D19" s="4" t="s">
        <v>7</v>
      </c>
      <c r="E19" s="4" t="s">
        <v>8</v>
      </c>
      <c r="F19" s="4" t="str">
        <f>VLOOKUP(B19,tn_2021_result!$A:$D,4,FALSE)</f>
        <v>DMK</v>
      </c>
      <c r="G19" s="4" t="str">
        <f t="shared" si="0"/>
        <v>DMK</v>
      </c>
      <c r="H19" s="4" t="str">
        <f>VLOOKUP(B19,tn_2026_result!$A:$D,4,FALSE)</f>
        <v>DMK</v>
      </c>
      <c r="I19" s="4" t="str">
        <f t="shared" si="1"/>
        <v>DMK</v>
      </c>
      <c r="K19" s="2" t="s">
        <v>148</v>
      </c>
      <c r="L19">
        <v>5</v>
      </c>
      <c r="M19">
        <v>22</v>
      </c>
      <c r="N19">
        <v>4</v>
      </c>
      <c r="O19">
        <v>1</v>
      </c>
      <c r="Q19">
        <v>26</v>
      </c>
      <c r="R19">
        <v>58</v>
      </c>
    </row>
    <row r="20" spans="1:18" x14ac:dyDescent="0.3">
      <c r="A20" s="4">
        <v>19</v>
      </c>
      <c r="B20" s="4" t="s">
        <v>28</v>
      </c>
      <c r="C20" s="4" t="s">
        <v>20</v>
      </c>
      <c r="D20" s="4" t="s">
        <v>7</v>
      </c>
      <c r="E20" s="4" t="s">
        <v>8</v>
      </c>
      <c r="F20" s="4" t="str">
        <f>VLOOKUP(B20,tn_2021_result!$A:$D,4,FALSE)</f>
        <v>DMK</v>
      </c>
      <c r="G20" s="4" t="str">
        <f t="shared" si="0"/>
        <v>DMK</v>
      </c>
      <c r="H20" s="4" t="str">
        <f>VLOOKUP(B20,tn_2026_result!$A:$D,4,FALSE)</f>
        <v>DMK</v>
      </c>
      <c r="I20" s="4" t="str">
        <f t="shared" si="1"/>
        <v>DMK</v>
      </c>
      <c r="K20" s="2" t="s">
        <v>734</v>
      </c>
      <c r="L20">
        <v>47</v>
      </c>
      <c r="M20">
        <v>59</v>
      </c>
      <c r="N20">
        <v>5</v>
      </c>
      <c r="O20">
        <v>11</v>
      </c>
      <c r="P20">
        <v>4</v>
      </c>
      <c r="Q20">
        <v>108</v>
      </c>
      <c r="R20">
        <v>234</v>
      </c>
    </row>
    <row r="21" spans="1:18" x14ac:dyDescent="0.3">
      <c r="A21" s="4">
        <v>20</v>
      </c>
      <c r="B21" s="4" t="s">
        <v>29</v>
      </c>
      <c r="C21" s="4" t="s">
        <v>20</v>
      </c>
      <c r="D21" s="4" t="s">
        <v>7</v>
      </c>
      <c r="E21" s="4" t="s">
        <v>8</v>
      </c>
      <c r="F21" s="4" t="str">
        <f>VLOOKUP(B21,tn_2021_result!$A:$D,4,FALSE)</f>
        <v>DMK</v>
      </c>
      <c r="G21" s="4" t="str">
        <f t="shared" si="0"/>
        <v>DMK</v>
      </c>
      <c r="H21" s="4" t="str">
        <f>VLOOKUP(B21,tn_2026_result!$A:$D,4,FALSE)</f>
        <v>TVK</v>
      </c>
      <c r="I21" s="4" t="str">
        <f t="shared" si="1"/>
        <v>TVK</v>
      </c>
    </row>
    <row r="22" spans="1:18" x14ac:dyDescent="0.3">
      <c r="A22" s="4">
        <v>21</v>
      </c>
      <c r="B22" s="4" t="s">
        <v>30</v>
      </c>
      <c r="C22" s="4" t="s">
        <v>20</v>
      </c>
      <c r="D22" s="4" t="s">
        <v>7</v>
      </c>
      <c r="E22" s="4" t="s">
        <v>8</v>
      </c>
      <c r="F22" s="4" t="str">
        <f>VLOOKUP(B22,tn_2021_result!$A:$D,4,FALSE)</f>
        <v>DMK</v>
      </c>
      <c r="G22" s="4" t="str">
        <f t="shared" si="0"/>
        <v>DMK</v>
      </c>
      <c r="H22" s="4" t="str">
        <f>VLOOKUP(B22,tn_2026_result!$A:$D,4,FALSE)</f>
        <v>TVK</v>
      </c>
      <c r="I22" s="4" t="str">
        <f t="shared" si="1"/>
        <v>TVK</v>
      </c>
    </row>
    <row r="23" spans="1:18" x14ac:dyDescent="0.3">
      <c r="A23" s="4">
        <v>22</v>
      </c>
      <c r="B23" s="4" t="s">
        <v>31</v>
      </c>
      <c r="C23" s="4" t="s">
        <v>20</v>
      </c>
      <c r="D23" s="4" t="s">
        <v>7</v>
      </c>
      <c r="E23" s="4" t="s">
        <v>8</v>
      </c>
      <c r="F23" s="4" t="str">
        <f>VLOOKUP(B23,tn_2021_result!$A:$D,4,FALSE)</f>
        <v>DMK</v>
      </c>
      <c r="G23" s="4" t="str">
        <f t="shared" si="0"/>
        <v>DMK</v>
      </c>
      <c r="H23" s="4" t="str">
        <f>VLOOKUP(B23,tn_2026_result!$A:$D,4,FALSE)</f>
        <v>TVK</v>
      </c>
      <c r="I23" s="4" t="str">
        <f t="shared" si="1"/>
        <v>TVK</v>
      </c>
    </row>
    <row r="24" spans="1:18" x14ac:dyDescent="0.3">
      <c r="A24" s="4">
        <v>23</v>
      </c>
      <c r="B24" s="4" t="s">
        <v>32</v>
      </c>
      <c r="C24" s="4" t="s">
        <v>20</v>
      </c>
      <c r="D24" s="4" t="s">
        <v>7</v>
      </c>
      <c r="E24" s="4" t="s">
        <v>8</v>
      </c>
      <c r="F24" s="4" t="str">
        <f>VLOOKUP(B24,tn_2021_result!$A:$D,4,FALSE)</f>
        <v>DMK</v>
      </c>
      <c r="G24" s="4" t="str">
        <f t="shared" si="0"/>
        <v>DMK</v>
      </c>
      <c r="H24" s="4" t="str">
        <f>VLOOKUP(B24,tn_2026_result!$A:$D,4,FALSE)</f>
        <v>TVK</v>
      </c>
      <c r="I24" s="4" t="str">
        <f t="shared" si="1"/>
        <v>TVK</v>
      </c>
    </row>
    <row r="25" spans="1:18" x14ac:dyDescent="0.3">
      <c r="A25" s="4">
        <v>24</v>
      </c>
      <c r="B25" s="4" t="s">
        <v>33</v>
      </c>
      <c r="C25" s="4" t="s">
        <v>20</v>
      </c>
      <c r="D25" s="4" t="s">
        <v>7</v>
      </c>
      <c r="E25" s="4" t="s">
        <v>8</v>
      </c>
      <c r="F25" s="4" t="str">
        <f>VLOOKUP(B25,tn_2021_result!$A:$D,4,FALSE)</f>
        <v>DMK</v>
      </c>
      <c r="G25" s="4" t="str">
        <f t="shared" si="0"/>
        <v>DMK</v>
      </c>
      <c r="H25" s="4" t="str">
        <f>VLOOKUP(B25,tn_2026_result!$A:$D,4,FALSE)</f>
        <v>TVK</v>
      </c>
      <c r="I25" s="4" t="str">
        <f t="shared" si="1"/>
        <v>TVK</v>
      </c>
    </row>
    <row r="26" spans="1:18" x14ac:dyDescent="0.3">
      <c r="A26" s="4">
        <v>25</v>
      </c>
      <c r="B26" s="4" t="s">
        <v>34</v>
      </c>
      <c r="C26" s="4" t="s">
        <v>20</v>
      </c>
      <c r="D26" s="4" t="s">
        <v>7</v>
      </c>
      <c r="E26" s="4" t="s">
        <v>8</v>
      </c>
      <c r="F26" s="4" t="str">
        <f>VLOOKUP(B26,tn_2021_result!$A:$D,4,FALSE)</f>
        <v>DMK</v>
      </c>
      <c r="G26" s="4" t="str">
        <f t="shared" si="0"/>
        <v>DMK</v>
      </c>
      <c r="H26" s="4" t="str">
        <f>VLOOKUP(B26,tn_2026_result!$A:$D,4,FALSE)</f>
        <v>TVK</v>
      </c>
      <c r="I26" s="4" t="str">
        <f t="shared" si="1"/>
        <v>TVK</v>
      </c>
    </row>
    <row r="27" spans="1:18" x14ac:dyDescent="0.3">
      <c r="A27" s="4">
        <v>26</v>
      </c>
      <c r="B27" s="4" t="s">
        <v>35</v>
      </c>
      <c r="C27" s="4" t="s">
        <v>20</v>
      </c>
      <c r="D27" s="4" t="s">
        <v>7</v>
      </c>
      <c r="E27" s="4" t="s">
        <v>8</v>
      </c>
      <c r="F27" s="4" t="str">
        <f>VLOOKUP(B27,tn_2021_result!$A:$D,4,FALSE)</f>
        <v>INC</v>
      </c>
      <c r="G27" s="4" t="str">
        <f t="shared" si="0"/>
        <v>INC</v>
      </c>
      <c r="H27" s="4" t="str">
        <f>VLOOKUP(B27,tn_2026_result!$A:$D,4,FALSE)</f>
        <v>TVK</v>
      </c>
      <c r="I27" s="4" t="str">
        <f t="shared" si="1"/>
        <v>TVK</v>
      </c>
    </row>
    <row r="28" spans="1:18" x14ac:dyDescent="0.3">
      <c r="A28" s="4">
        <v>27</v>
      </c>
      <c r="B28" s="4" t="s">
        <v>36</v>
      </c>
      <c r="C28" s="4" t="s">
        <v>37</v>
      </c>
      <c r="D28" s="4" t="s">
        <v>7</v>
      </c>
      <c r="E28" s="4" t="s">
        <v>8</v>
      </c>
      <c r="F28" s="4" t="str">
        <f>VLOOKUP(B28,tn_2021_result!$A:$D,4,FALSE)</f>
        <v>DMK</v>
      </c>
      <c r="G28" s="4" t="str">
        <f t="shared" si="0"/>
        <v>DMK</v>
      </c>
      <c r="H28" s="4" t="str">
        <f>VLOOKUP(B28,tn_2026_result!$A:$D,4,FALSE)</f>
        <v>TVK</v>
      </c>
      <c r="I28" s="4" t="str">
        <f t="shared" si="1"/>
        <v>TVK</v>
      </c>
    </row>
    <row r="29" spans="1:18" x14ac:dyDescent="0.3">
      <c r="A29" s="4">
        <v>28</v>
      </c>
      <c r="B29" s="4" t="s">
        <v>38</v>
      </c>
      <c r="C29" s="4" t="s">
        <v>37</v>
      </c>
      <c r="D29" s="4" t="s">
        <v>7</v>
      </c>
      <c r="E29" s="4" t="s">
        <v>8</v>
      </c>
      <c r="F29" s="4" t="str">
        <f>VLOOKUP(B29,tn_2021_result!$A:$D,4,FALSE)</f>
        <v>DMK</v>
      </c>
      <c r="G29" s="4" t="str">
        <f t="shared" si="0"/>
        <v>DMK</v>
      </c>
      <c r="H29" s="4" t="str">
        <f>VLOOKUP(B29,tn_2026_result!$A:$D,4,FALSE)</f>
        <v>TVK</v>
      </c>
      <c r="I29" s="4" t="str">
        <f t="shared" si="1"/>
        <v>TVK</v>
      </c>
    </row>
    <row r="30" spans="1:18" x14ac:dyDescent="0.3">
      <c r="A30" s="4">
        <v>29</v>
      </c>
      <c r="B30" s="4" t="s">
        <v>39</v>
      </c>
      <c r="C30" s="4" t="s">
        <v>37</v>
      </c>
      <c r="D30" s="4" t="s">
        <v>7</v>
      </c>
      <c r="E30" s="4" t="s">
        <v>10</v>
      </c>
      <c r="F30" s="4" t="str">
        <f>VLOOKUP(B30,tn_2021_result!$A:$D,4,FALSE)</f>
        <v>INC</v>
      </c>
      <c r="G30" s="4" t="str">
        <f t="shared" si="0"/>
        <v>INC</v>
      </c>
      <c r="H30" s="4" t="str">
        <f>VLOOKUP(B30,tn_2026_result!$A:$D,4,FALSE)</f>
        <v>TVK</v>
      </c>
      <c r="I30" s="4" t="str">
        <f t="shared" si="1"/>
        <v>TVK</v>
      </c>
    </row>
    <row r="31" spans="1:18" x14ac:dyDescent="0.3">
      <c r="A31" s="4">
        <v>30</v>
      </c>
      <c r="B31" s="4" t="s">
        <v>40</v>
      </c>
      <c r="C31" s="4" t="s">
        <v>37</v>
      </c>
      <c r="D31" s="4" t="s">
        <v>7</v>
      </c>
      <c r="E31" s="4" t="s">
        <v>8</v>
      </c>
      <c r="F31" s="4" t="str">
        <f>VLOOKUP(B31,tn_2021_result!$A:$D,4,FALSE)</f>
        <v>DMK</v>
      </c>
      <c r="G31" s="4" t="str">
        <f t="shared" si="0"/>
        <v>DMK</v>
      </c>
      <c r="H31" s="4" t="str">
        <f>VLOOKUP(B31,tn_2026_result!$A:$D,4,FALSE)</f>
        <v>TVK</v>
      </c>
      <c r="I31" s="4" t="str">
        <f t="shared" si="1"/>
        <v>TVK</v>
      </c>
    </row>
    <row r="32" spans="1:18" x14ac:dyDescent="0.3">
      <c r="A32" s="4">
        <v>31</v>
      </c>
      <c r="B32" s="4" t="s">
        <v>41</v>
      </c>
      <c r="C32" s="4" t="s">
        <v>37</v>
      </c>
      <c r="D32" s="4" t="s">
        <v>7</v>
      </c>
      <c r="E32" s="4" t="s">
        <v>8</v>
      </c>
      <c r="F32" s="4" t="str">
        <f>VLOOKUP(B32,tn_2021_result!$A:$D,4,FALSE)</f>
        <v>DMK</v>
      </c>
      <c r="G32" s="4" t="str">
        <f t="shared" si="0"/>
        <v>DMK</v>
      </c>
      <c r="H32" s="4" t="str">
        <f>VLOOKUP(B32,tn_2026_result!$A:$D,4,FALSE)</f>
        <v>TVK</v>
      </c>
      <c r="I32" s="4" t="str">
        <f t="shared" si="1"/>
        <v>TVK</v>
      </c>
    </row>
    <row r="33" spans="1:9" x14ac:dyDescent="0.3">
      <c r="A33" s="4">
        <v>32</v>
      </c>
      <c r="B33" s="4" t="s">
        <v>42</v>
      </c>
      <c r="C33" s="4" t="s">
        <v>37</v>
      </c>
      <c r="D33" s="4" t="s">
        <v>7</v>
      </c>
      <c r="E33" s="4" t="s">
        <v>8</v>
      </c>
      <c r="F33" s="4" t="str">
        <f>VLOOKUP(B33,tn_2021_result!$A:$D,4,FALSE)</f>
        <v>DMK</v>
      </c>
      <c r="G33" s="4" t="str">
        <f t="shared" si="0"/>
        <v>DMK</v>
      </c>
      <c r="H33" s="4" t="str">
        <f>VLOOKUP(B33,tn_2026_result!$A:$D,4,FALSE)</f>
        <v>TVK</v>
      </c>
      <c r="I33" s="4" t="str">
        <f t="shared" si="1"/>
        <v>TVK</v>
      </c>
    </row>
    <row r="34" spans="1:9" x14ac:dyDescent="0.3">
      <c r="A34" s="4">
        <v>33</v>
      </c>
      <c r="B34" s="4" t="s">
        <v>43</v>
      </c>
      <c r="C34" s="4" t="s">
        <v>37</v>
      </c>
      <c r="D34" s="4" t="s">
        <v>44</v>
      </c>
      <c r="E34" s="4" t="s">
        <v>8</v>
      </c>
      <c r="F34" s="4" t="str">
        <f>VLOOKUP(B34,tn_2021_result!$A:$D,4,FALSE)</f>
        <v>VCK</v>
      </c>
      <c r="G34" s="4" t="str">
        <f t="shared" si="0"/>
        <v>Others</v>
      </c>
      <c r="H34" s="4" t="str">
        <f>VLOOKUP(B34,tn_2026_result!$A:$D,4,FALSE)</f>
        <v>TVK</v>
      </c>
      <c r="I34" s="4" t="str">
        <f t="shared" si="1"/>
        <v>TVK</v>
      </c>
    </row>
    <row r="35" spans="1:9" x14ac:dyDescent="0.3">
      <c r="A35" s="4">
        <v>34</v>
      </c>
      <c r="B35" s="4" t="s">
        <v>45</v>
      </c>
      <c r="C35" s="4" t="s">
        <v>37</v>
      </c>
      <c r="D35" s="4" t="s">
        <v>44</v>
      </c>
      <c r="E35" s="4" t="s">
        <v>10</v>
      </c>
      <c r="F35" s="4" t="str">
        <f>VLOOKUP(B35,tn_2021_result!$A:$D,4,FALSE)</f>
        <v>VCK</v>
      </c>
      <c r="G35" s="4" t="str">
        <f t="shared" si="0"/>
        <v>Others</v>
      </c>
      <c r="H35" s="4" t="str">
        <f>VLOOKUP(B35,tn_2026_result!$A:$D,4,FALSE)</f>
        <v>AIADMK</v>
      </c>
      <c r="I35" s="4" t="str">
        <f t="shared" si="1"/>
        <v>AIADMK</v>
      </c>
    </row>
    <row r="36" spans="1:9" x14ac:dyDescent="0.3">
      <c r="A36" s="4">
        <v>35</v>
      </c>
      <c r="B36" s="4" t="s">
        <v>46</v>
      </c>
      <c r="C36" s="4" t="s">
        <v>37</v>
      </c>
      <c r="D36" s="4" t="s">
        <v>44</v>
      </c>
      <c r="E36" s="4" t="s">
        <v>10</v>
      </c>
      <c r="F36" s="4" t="str">
        <f>VLOOKUP(B36,tn_2021_result!$A:$D,4,FALSE)</f>
        <v>AIADMK</v>
      </c>
      <c r="G36" s="4" t="str">
        <f t="shared" si="0"/>
        <v>AIADMK</v>
      </c>
      <c r="H36" s="4" t="str">
        <f>VLOOKUP(B36,tn_2026_result!$A:$D,4,FALSE)</f>
        <v>AIADMK</v>
      </c>
      <c r="I36" s="4" t="str">
        <f t="shared" si="1"/>
        <v>AIADMK</v>
      </c>
    </row>
    <row r="37" spans="1:9" x14ac:dyDescent="0.3">
      <c r="A37" s="4">
        <v>36</v>
      </c>
      <c r="B37" s="4" t="s">
        <v>47</v>
      </c>
      <c r="C37" s="4" t="s">
        <v>37</v>
      </c>
      <c r="D37" s="4" t="s">
        <v>44</v>
      </c>
      <c r="E37" s="4" t="s">
        <v>8</v>
      </c>
      <c r="F37" s="4" t="str">
        <f>VLOOKUP(B37,tn_2021_result!$A:$D,4,FALSE)</f>
        <v>DMK</v>
      </c>
      <c r="G37" s="4" t="str">
        <f t="shared" si="0"/>
        <v>DMK</v>
      </c>
      <c r="H37" s="4" t="str">
        <f>VLOOKUP(B37,tn_2026_result!$A:$D,4,FALSE)</f>
        <v>TVK</v>
      </c>
      <c r="I37" s="4" t="str">
        <f t="shared" si="1"/>
        <v>TVK</v>
      </c>
    </row>
    <row r="38" spans="1:9" x14ac:dyDescent="0.3">
      <c r="A38" s="4">
        <v>37</v>
      </c>
      <c r="B38" s="4" t="s">
        <v>48</v>
      </c>
      <c r="C38" s="4" t="s">
        <v>37</v>
      </c>
      <c r="D38" s="4" t="s">
        <v>44</v>
      </c>
      <c r="E38" s="4" t="s">
        <v>8</v>
      </c>
      <c r="F38" s="4" t="str">
        <f>VLOOKUP(B38,tn_2021_result!$A:$D,4,FALSE)</f>
        <v>DMK</v>
      </c>
      <c r="G38" s="4" t="str">
        <f t="shared" si="0"/>
        <v>DMK</v>
      </c>
      <c r="H38" s="4" t="str">
        <f>VLOOKUP(B38,tn_2026_result!$A:$D,4,FALSE)</f>
        <v>TVK</v>
      </c>
      <c r="I38" s="4" t="str">
        <f t="shared" si="1"/>
        <v>TVK</v>
      </c>
    </row>
    <row r="39" spans="1:9" x14ac:dyDescent="0.3">
      <c r="A39" s="4">
        <v>38</v>
      </c>
      <c r="B39" s="4" t="s">
        <v>49</v>
      </c>
      <c r="C39" s="4" t="s">
        <v>50</v>
      </c>
      <c r="D39" s="4" t="s">
        <v>44</v>
      </c>
      <c r="E39" s="4" t="s">
        <v>10</v>
      </c>
      <c r="F39" s="4" t="str">
        <f>VLOOKUP(B39,tn_2021_result!$A:$D,4,FALSE)</f>
        <v>AIADMK</v>
      </c>
      <c r="G39" s="4" t="str">
        <f t="shared" si="0"/>
        <v>AIADMK</v>
      </c>
      <c r="H39" s="4" t="str">
        <f>VLOOKUP(B39,tn_2026_result!$A:$D,4,FALSE)</f>
        <v>TVK</v>
      </c>
      <c r="I39" s="4" t="str">
        <f t="shared" si="1"/>
        <v>TVK</v>
      </c>
    </row>
    <row r="40" spans="1:9" x14ac:dyDescent="0.3">
      <c r="A40" s="4">
        <v>39</v>
      </c>
      <c r="B40" s="4" t="s">
        <v>51</v>
      </c>
      <c r="C40" s="4" t="s">
        <v>50</v>
      </c>
      <c r="D40" s="4" t="s">
        <v>44</v>
      </c>
      <c r="E40" s="4" t="s">
        <v>8</v>
      </c>
      <c r="F40" s="4" t="str">
        <f>VLOOKUP(B40,tn_2021_result!$A:$D,4,FALSE)</f>
        <v>INC</v>
      </c>
      <c r="G40" s="4" t="str">
        <f t="shared" si="0"/>
        <v>INC</v>
      </c>
      <c r="H40" s="4" t="str">
        <f>VLOOKUP(B40,tn_2026_result!$A:$D,4,FALSE)</f>
        <v>TVK</v>
      </c>
      <c r="I40" s="4" t="str">
        <f t="shared" si="1"/>
        <v>TVK</v>
      </c>
    </row>
    <row r="41" spans="1:9" x14ac:dyDescent="0.3">
      <c r="A41" s="4">
        <v>40</v>
      </c>
      <c r="B41" s="4" t="s">
        <v>52</v>
      </c>
      <c r="C41" s="4" t="s">
        <v>50</v>
      </c>
      <c r="D41" s="4" t="s">
        <v>44</v>
      </c>
      <c r="E41" s="4" t="s">
        <v>8</v>
      </c>
      <c r="F41" s="4" t="str">
        <f>VLOOKUP(B41,tn_2021_result!$A:$D,4,FALSE)</f>
        <v>DMK</v>
      </c>
      <c r="G41" s="4" t="str">
        <f t="shared" si="0"/>
        <v>DMK</v>
      </c>
      <c r="H41" s="4" t="str">
        <f>VLOOKUP(B41,tn_2026_result!$A:$D,4,FALSE)</f>
        <v>TVK</v>
      </c>
      <c r="I41" s="4" t="str">
        <f t="shared" si="1"/>
        <v>TVK</v>
      </c>
    </row>
    <row r="42" spans="1:9" x14ac:dyDescent="0.3">
      <c r="A42" s="4">
        <v>41</v>
      </c>
      <c r="B42" s="4" t="s">
        <v>53</v>
      </c>
      <c r="C42" s="4" t="s">
        <v>50</v>
      </c>
      <c r="D42" s="4" t="s">
        <v>44</v>
      </c>
      <c r="E42" s="4" t="s">
        <v>8</v>
      </c>
      <c r="F42" s="4" t="str">
        <f>VLOOKUP(B42,tn_2021_result!$A:$D,4,FALSE)</f>
        <v>DMK</v>
      </c>
      <c r="G42" s="4" t="str">
        <f t="shared" si="0"/>
        <v>DMK</v>
      </c>
      <c r="H42" s="4" t="str">
        <f>VLOOKUP(B42,tn_2026_result!$A:$D,4,FALSE)</f>
        <v>TVK</v>
      </c>
      <c r="I42" s="4" t="str">
        <f t="shared" si="1"/>
        <v>TVK</v>
      </c>
    </row>
    <row r="43" spans="1:9" x14ac:dyDescent="0.3">
      <c r="A43" s="4">
        <v>42</v>
      </c>
      <c r="B43" s="4" t="s">
        <v>54</v>
      </c>
      <c r="C43" s="4" t="s">
        <v>50</v>
      </c>
      <c r="D43" s="4" t="s">
        <v>44</v>
      </c>
      <c r="E43" s="4" t="s">
        <v>8</v>
      </c>
      <c r="F43" s="4" t="str">
        <f>VLOOKUP(B43,tn_2021_result!$A:$D,4,FALSE)</f>
        <v>DMK</v>
      </c>
      <c r="G43" s="4" t="str">
        <f t="shared" si="0"/>
        <v>DMK</v>
      </c>
      <c r="H43" s="4" t="str">
        <f>VLOOKUP(B43,tn_2026_result!$A:$D,4,FALSE)</f>
        <v>AIADMK</v>
      </c>
      <c r="I43" s="4" t="str">
        <f t="shared" si="1"/>
        <v>AIADMK</v>
      </c>
    </row>
    <row r="44" spans="1:9" x14ac:dyDescent="0.3">
      <c r="A44" s="4">
        <v>43</v>
      </c>
      <c r="B44" s="4" t="s">
        <v>50</v>
      </c>
      <c r="C44" s="4" t="s">
        <v>50</v>
      </c>
      <c r="D44" s="4" t="s">
        <v>44</v>
      </c>
      <c r="E44" s="4" t="s">
        <v>8</v>
      </c>
      <c r="F44" s="4" t="str">
        <f>VLOOKUP(B44,tn_2021_result!$A:$D,4,FALSE)</f>
        <v>DMK</v>
      </c>
      <c r="G44" s="4" t="str">
        <f t="shared" si="0"/>
        <v>DMK</v>
      </c>
      <c r="H44" s="4" t="str">
        <f>VLOOKUP(B44,tn_2026_result!$A:$D,4,FALSE)</f>
        <v>TVK</v>
      </c>
      <c r="I44" s="4" t="str">
        <f t="shared" si="1"/>
        <v>TVK</v>
      </c>
    </row>
    <row r="45" spans="1:9" x14ac:dyDescent="0.3">
      <c r="A45" s="4">
        <v>44</v>
      </c>
      <c r="B45" s="4" t="s">
        <v>55</v>
      </c>
      <c r="C45" s="4" t="s">
        <v>50</v>
      </c>
      <c r="D45" s="4" t="s">
        <v>44</v>
      </c>
      <c r="E45" s="4" t="s">
        <v>8</v>
      </c>
      <c r="F45" s="4" t="str">
        <f>VLOOKUP(B45,tn_2021_result!$A:$D,4,FALSE)</f>
        <v>DMK</v>
      </c>
      <c r="G45" s="4" t="str">
        <f t="shared" si="0"/>
        <v>DMK</v>
      </c>
      <c r="H45" s="4" t="str">
        <f>VLOOKUP(B45,tn_2026_result!$A:$D,4,FALSE)</f>
        <v>AIADMK</v>
      </c>
      <c r="I45" s="4" t="str">
        <f t="shared" si="1"/>
        <v>AIADMK</v>
      </c>
    </row>
    <row r="46" spans="1:9" x14ac:dyDescent="0.3">
      <c r="A46" s="4">
        <v>45</v>
      </c>
      <c r="B46" s="4" t="s">
        <v>56</v>
      </c>
      <c r="C46" s="4" t="s">
        <v>50</v>
      </c>
      <c r="D46" s="4" t="s">
        <v>44</v>
      </c>
      <c r="E46" s="4" t="s">
        <v>10</v>
      </c>
      <c r="F46" s="4" t="str">
        <f>VLOOKUP(B46,tn_2021_result!$A:$D,4,FALSE)</f>
        <v>AIADMK</v>
      </c>
      <c r="G46" s="4" t="str">
        <f t="shared" si="0"/>
        <v>AIADMK</v>
      </c>
      <c r="H46" s="4" t="str">
        <f>VLOOKUP(B46,tn_2026_result!$A:$D,4,FALSE)</f>
        <v>TVK</v>
      </c>
      <c r="I46" s="4" t="str">
        <f t="shared" si="1"/>
        <v>TVK</v>
      </c>
    </row>
    <row r="47" spans="1:9" x14ac:dyDescent="0.3">
      <c r="A47" s="4">
        <v>46</v>
      </c>
      <c r="B47" s="4" t="s">
        <v>57</v>
      </c>
      <c r="C47" s="4" t="s">
        <v>50</v>
      </c>
      <c r="D47" s="4" t="s">
        <v>44</v>
      </c>
      <c r="E47" s="4" t="s">
        <v>10</v>
      </c>
      <c r="F47" s="4" t="str">
        <f>VLOOKUP(B47,tn_2021_result!$A:$D,4,FALSE)</f>
        <v>DMK</v>
      </c>
      <c r="G47" s="4" t="str">
        <f t="shared" si="0"/>
        <v>DMK</v>
      </c>
      <c r="H47" s="4" t="str">
        <f>VLOOKUP(B47,tn_2026_result!$A:$D,4,FALSE)</f>
        <v>TVK</v>
      </c>
      <c r="I47" s="4" t="str">
        <f t="shared" si="1"/>
        <v>TVK</v>
      </c>
    </row>
    <row r="48" spans="1:9" x14ac:dyDescent="0.3">
      <c r="A48" s="4">
        <v>47</v>
      </c>
      <c r="B48" s="4" t="s">
        <v>58</v>
      </c>
      <c r="C48" s="4" t="s">
        <v>50</v>
      </c>
      <c r="D48" s="4" t="s">
        <v>44</v>
      </c>
      <c r="E48" s="4" t="s">
        <v>8</v>
      </c>
      <c r="F48" s="4" t="str">
        <f>VLOOKUP(B48,tn_2021_result!$A:$D,4,FALSE)</f>
        <v>AIADMK</v>
      </c>
      <c r="G48" s="4" t="str">
        <f t="shared" si="0"/>
        <v>AIADMK</v>
      </c>
      <c r="H48" s="4" t="str">
        <f>VLOOKUP(B48,tn_2026_result!$A:$D,4,FALSE)</f>
        <v>IUML</v>
      </c>
      <c r="I48" s="4" t="str">
        <f t="shared" si="1"/>
        <v>Others</v>
      </c>
    </row>
    <row r="49" spans="1:9" x14ac:dyDescent="0.3">
      <c r="A49" s="4">
        <v>48</v>
      </c>
      <c r="B49" s="4" t="s">
        <v>59</v>
      </c>
      <c r="C49" s="4" t="s">
        <v>50</v>
      </c>
      <c r="D49" s="4" t="s">
        <v>44</v>
      </c>
      <c r="E49" s="4" t="s">
        <v>8</v>
      </c>
      <c r="F49" s="4" t="str">
        <f>VLOOKUP(B49,tn_2021_result!$A:$D,4,FALSE)</f>
        <v>DMK</v>
      </c>
      <c r="G49" s="4" t="str">
        <f t="shared" si="0"/>
        <v>DMK</v>
      </c>
      <c r="H49" s="4" t="str">
        <f>VLOOKUP(B49,tn_2026_result!$A:$D,4,FALSE)</f>
        <v>DMK</v>
      </c>
      <c r="I49" s="4" t="str">
        <f t="shared" si="1"/>
        <v>DMK</v>
      </c>
    </row>
    <row r="50" spans="1:9" x14ac:dyDescent="0.3">
      <c r="A50" s="4">
        <v>49</v>
      </c>
      <c r="B50" s="4" t="s">
        <v>60</v>
      </c>
      <c r="C50" s="4" t="s">
        <v>50</v>
      </c>
      <c r="D50" s="4" t="s">
        <v>44</v>
      </c>
      <c r="E50" s="4" t="s">
        <v>8</v>
      </c>
      <c r="F50" s="4" t="str">
        <f>VLOOKUP(B50,tn_2021_result!$A:$D,4,FALSE)</f>
        <v>DMK</v>
      </c>
      <c r="G50" s="4" t="str">
        <f t="shared" si="0"/>
        <v>DMK</v>
      </c>
      <c r="H50" s="4" t="str">
        <f>VLOOKUP(B50,tn_2026_result!$A:$D,4,FALSE)</f>
        <v>AIADMK</v>
      </c>
      <c r="I50" s="4" t="str">
        <f t="shared" si="1"/>
        <v>AIADMK</v>
      </c>
    </row>
    <row r="51" spans="1:9" x14ac:dyDescent="0.3">
      <c r="A51" s="4">
        <v>50</v>
      </c>
      <c r="B51" s="4" t="s">
        <v>61</v>
      </c>
      <c r="C51" s="4" t="s">
        <v>50</v>
      </c>
      <c r="D51" s="4" t="s">
        <v>44</v>
      </c>
      <c r="E51" s="4" t="s">
        <v>8</v>
      </c>
      <c r="F51" s="4" t="str">
        <f>VLOOKUP(B51,tn_2021_result!$A:$D,4,FALSE)</f>
        <v>DMK</v>
      </c>
      <c r="G51" s="4" t="str">
        <f t="shared" si="0"/>
        <v>DMK</v>
      </c>
      <c r="H51" s="4" t="str">
        <f>VLOOKUP(B51,tn_2026_result!$A:$D,4,FALSE)</f>
        <v>TVK</v>
      </c>
      <c r="I51" s="4" t="str">
        <f t="shared" si="1"/>
        <v>TVK</v>
      </c>
    </row>
    <row r="52" spans="1:9" x14ac:dyDescent="0.3">
      <c r="A52" s="4">
        <v>51</v>
      </c>
      <c r="B52" s="4" t="s">
        <v>62</v>
      </c>
      <c r="C52" s="4" t="s">
        <v>63</v>
      </c>
      <c r="D52" s="4" t="s">
        <v>44</v>
      </c>
      <c r="E52" s="4" t="s">
        <v>10</v>
      </c>
      <c r="F52" s="4" t="str">
        <f>VLOOKUP(B52,tn_2021_result!$A:$D,4,FALSE)</f>
        <v>AIADMK</v>
      </c>
      <c r="G52" s="4" t="str">
        <f t="shared" si="0"/>
        <v>AIADMK</v>
      </c>
      <c r="H52" s="4" t="str">
        <f>VLOOKUP(B52,tn_2026_result!$A:$D,4,FALSE)</f>
        <v>TVK</v>
      </c>
      <c r="I52" s="4" t="str">
        <f t="shared" si="1"/>
        <v>TVK</v>
      </c>
    </row>
    <row r="53" spans="1:9" x14ac:dyDescent="0.3">
      <c r="A53" s="4">
        <v>52</v>
      </c>
      <c r="B53" s="4" t="s">
        <v>64</v>
      </c>
      <c r="C53" s="4" t="s">
        <v>63</v>
      </c>
      <c r="D53" s="4" t="s">
        <v>44</v>
      </c>
      <c r="E53" s="4" t="s">
        <v>8</v>
      </c>
      <c r="F53" s="4" t="str">
        <f>VLOOKUP(B53,tn_2021_result!$A:$D,4,FALSE)</f>
        <v>DMK</v>
      </c>
      <c r="G53" s="4" t="str">
        <f t="shared" si="0"/>
        <v>DMK</v>
      </c>
      <c r="H53" s="4" t="str">
        <f>VLOOKUP(B53,tn_2026_result!$A:$D,4,FALSE)</f>
        <v>AIADMK</v>
      </c>
      <c r="I53" s="4" t="str">
        <f t="shared" si="1"/>
        <v>AIADMK</v>
      </c>
    </row>
    <row r="54" spans="1:9" x14ac:dyDescent="0.3">
      <c r="A54" s="4">
        <v>53</v>
      </c>
      <c r="B54" s="4" t="s">
        <v>63</v>
      </c>
      <c r="C54" s="4" t="s">
        <v>63</v>
      </c>
      <c r="D54" s="4" t="s">
        <v>44</v>
      </c>
      <c r="E54" s="4" t="s">
        <v>8</v>
      </c>
      <c r="F54" s="4" t="str">
        <f>VLOOKUP(B54,tn_2021_result!$A:$D,4,FALSE)</f>
        <v>AIADMK</v>
      </c>
      <c r="G54" s="4" t="str">
        <f t="shared" si="0"/>
        <v>AIADMK</v>
      </c>
      <c r="H54" s="4" t="str">
        <f>VLOOKUP(B54,tn_2026_result!$A:$D,4,FALSE)</f>
        <v>TVK</v>
      </c>
      <c r="I54" s="4" t="str">
        <f t="shared" si="1"/>
        <v>TVK</v>
      </c>
    </row>
    <row r="55" spans="1:9" x14ac:dyDescent="0.3">
      <c r="A55" s="4">
        <v>54</v>
      </c>
      <c r="B55" s="4" t="s">
        <v>65</v>
      </c>
      <c r="C55" s="4" t="s">
        <v>63</v>
      </c>
      <c r="D55" s="4" t="s">
        <v>44</v>
      </c>
      <c r="E55" s="4" t="s">
        <v>8</v>
      </c>
      <c r="F55" s="4" t="str">
        <f>VLOOKUP(B55,tn_2021_result!$A:$D,4,FALSE)</f>
        <v>AIADMK</v>
      </c>
      <c r="G55" s="4" t="str">
        <f t="shared" si="0"/>
        <v>AIADMK</v>
      </c>
      <c r="H55" s="4" t="str">
        <f>VLOOKUP(B55,tn_2026_result!$A:$D,4,FALSE)</f>
        <v>DMK</v>
      </c>
      <c r="I55" s="4" t="str">
        <f t="shared" si="1"/>
        <v>DMK</v>
      </c>
    </row>
    <row r="56" spans="1:9" x14ac:dyDescent="0.3">
      <c r="A56" s="4">
        <v>55</v>
      </c>
      <c r="B56" s="4" t="s">
        <v>66</v>
      </c>
      <c r="C56" s="4" t="s">
        <v>63</v>
      </c>
      <c r="D56" s="4" t="s">
        <v>44</v>
      </c>
      <c r="E56" s="4" t="s">
        <v>8</v>
      </c>
      <c r="F56" s="4" t="str">
        <f>VLOOKUP(B56,tn_2021_result!$A:$D,4,FALSE)</f>
        <v>DMK</v>
      </c>
      <c r="G56" s="4" t="str">
        <f t="shared" si="0"/>
        <v>DMK</v>
      </c>
      <c r="H56" s="4" t="str">
        <f>VLOOKUP(B56,tn_2026_result!$A:$D,4,FALSE)</f>
        <v>AIADMK</v>
      </c>
      <c r="I56" s="4" t="str">
        <f t="shared" si="1"/>
        <v>AIADMK</v>
      </c>
    </row>
    <row r="57" spans="1:9" x14ac:dyDescent="0.3">
      <c r="A57" s="4">
        <v>56</v>
      </c>
      <c r="B57" s="4" t="s">
        <v>67</v>
      </c>
      <c r="C57" s="4" t="s">
        <v>63</v>
      </c>
      <c r="D57" s="4" t="s">
        <v>44</v>
      </c>
      <c r="E57" s="4" t="s">
        <v>8</v>
      </c>
      <c r="F57" s="4" t="str">
        <f>VLOOKUP(B57,tn_2021_result!$A:$D,4,FALSE)</f>
        <v>CPI</v>
      </c>
      <c r="G57" s="4" t="str">
        <f t="shared" si="0"/>
        <v>Others</v>
      </c>
      <c r="H57" s="4" t="str">
        <f>VLOOKUP(B57,tn_2026_result!$A:$D,4,FALSE)</f>
        <v>CPI</v>
      </c>
      <c r="I57" s="4" t="str">
        <f t="shared" si="1"/>
        <v>Others</v>
      </c>
    </row>
    <row r="58" spans="1:9" x14ac:dyDescent="0.3">
      <c r="A58" s="4">
        <v>57</v>
      </c>
      <c r="B58" s="4" t="s">
        <v>68</v>
      </c>
      <c r="C58" s="4" t="s">
        <v>69</v>
      </c>
      <c r="D58" s="4" t="s">
        <v>44</v>
      </c>
      <c r="E58" s="4" t="s">
        <v>8</v>
      </c>
      <c r="F58" s="4" t="str">
        <f>VLOOKUP(B58,tn_2021_result!$A:$D,4,FALSE)</f>
        <v>AIADMK</v>
      </c>
      <c r="G58" s="4" t="str">
        <f t="shared" si="0"/>
        <v>AIADMK</v>
      </c>
      <c r="H58" s="4" t="str">
        <f>VLOOKUP(B58,tn_2026_result!$A:$D,4,FALSE)</f>
        <v>AIADMK</v>
      </c>
      <c r="I58" s="4" t="str">
        <f t="shared" si="1"/>
        <v>AIADMK</v>
      </c>
    </row>
    <row r="59" spans="1:9" x14ac:dyDescent="0.3">
      <c r="A59" s="4">
        <v>58</v>
      </c>
      <c r="B59" s="4" t="s">
        <v>70</v>
      </c>
      <c r="C59" s="4" t="s">
        <v>69</v>
      </c>
      <c r="D59" s="4" t="s">
        <v>44</v>
      </c>
      <c r="E59" s="4" t="s">
        <v>8</v>
      </c>
      <c r="F59" s="4" t="str">
        <f>VLOOKUP(B59,tn_2021_result!$A:$D,4,FALSE)</f>
        <v>PMK</v>
      </c>
      <c r="G59" s="4" t="str">
        <f t="shared" si="0"/>
        <v>PMK</v>
      </c>
      <c r="H59" s="4" t="str">
        <f>VLOOKUP(B59,tn_2026_result!$A:$D,4,FALSE)</f>
        <v>TVK</v>
      </c>
      <c r="I59" s="4" t="str">
        <f t="shared" si="1"/>
        <v>TVK</v>
      </c>
    </row>
    <row r="60" spans="1:9" x14ac:dyDescent="0.3">
      <c r="A60" s="4">
        <v>59</v>
      </c>
      <c r="B60" s="4" t="s">
        <v>69</v>
      </c>
      <c r="C60" s="4" t="s">
        <v>69</v>
      </c>
      <c r="D60" s="4" t="s">
        <v>44</v>
      </c>
      <c r="E60" s="4" t="s">
        <v>8</v>
      </c>
      <c r="F60" s="4" t="str">
        <f>VLOOKUP(B60,tn_2021_result!$A:$D,4,FALSE)</f>
        <v>PMK</v>
      </c>
      <c r="G60" s="4" t="str">
        <f t="shared" si="0"/>
        <v>PMK</v>
      </c>
      <c r="H60" s="4" t="str">
        <f>VLOOKUP(B60,tn_2026_result!$A:$D,4,FALSE)</f>
        <v>PMK</v>
      </c>
      <c r="I60" s="4" t="str">
        <f t="shared" si="1"/>
        <v>PMK</v>
      </c>
    </row>
    <row r="61" spans="1:9" x14ac:dyDescent="0.3">
      <c r="A61" s="4">
        <v>60</v>
      </c>
      <c r="B61" s="4" t="s">
        <v>71</v>
      </c>
      <c r="C61" s="4" t="s">
        <v>69</v>
      </c>
      <c r="D61" s="4" t="s">
        <v>44</v>
      </c>
      <c r="E61" s="4" t="s">
        <v>8</v>
      </c>
      <c r="F61" s="4" t="str">
        <f>VLOOKUP(B61,tn_2021_result!$A:$D,4,FALSE)</f>
        <v>AIADMK</v>
      </c>
      <c r="G61" s="4" t="str">
        <f t="shared" si="0"/>
        <v>AIADMK</v>
      </c>
      <c r="H61" s="4" t="str">
        <f>VLOOKUP(B61,tn_2026_result!$A:$D,4,FALSE)</f>
        <v>AIADMK</v>
      </c>
      <c r="I61" s="4" t="str">
        <f t="shared" si="1"/>
        <v>AIADMK</v>
      </c>
    </row>
    <row r="62" spans="1:9" x14ac:dyDescent="0.3">
      <c r="A62" s="4">
        <v>61</v>
      </c>
      <c r="B62" s="4" t="s">
        <v>72</v>
      </c>
      <c r="C62" s="4" t="s">
        <v>69</v>
      </c>
      <c r="D62" s="4" t="s">
        <v>44</v>
      </c>
      <c r="E62" s="4" t="s">
        <v>10</v>
      </c>
      <c r="F62" s="4" t="str">
        <f>VLOOKUP(B62,tn_2021_result!$A:$D,4,FALSE)</f>
        <v>AIADMK</v>
      </c>
      <c r="G62" s="4" t="str">
        <f t="shared" si="0"/>
        <v>AIADMK</v>
      </c>
      <c r="H62" s="4" t="str">
        <f>VLOOKUP(B62,tn_2026_result!$A:$D,4,FALSE)</f>
        <v>AIADMK</v>
      </c>
      <c r="I62" s="4" t="str">
        <f t="shared" si="1"/>
        <v>AIADMK</v>
      </c>
    </row>
    <row r="63" spans="1:9" x14ac:dyDescent="0.3">
      <c r="A63" s="4">
        <v>62</v>
      </c>
      <c r="B63" s="4" t="s">
        <v>73</v>
      </c>
      <c r="C63" s="4" t="s">
        <v>74</v>
      </c>
      <c r="D63" s="4" t="s">
        <v>44</v>
      </c>
      <c r="E63" s="4" t="s">
        <v>10</v>
      </c>
      <c r="F63" s="4" t="str">
        <f>VLOOKUP(B63,tn_2021_result!$A:$D,4,FALSE)</f>
        <v>DMK</v>
      </c>
      <c r="G63" s="4" t="str">
        <f t="shared" si="0"/>
        <v>DMK</v>
      </c>
      <c r="H63" s="4" t="str">
        <f>VLOOKUP(B63,tn_2026_result!$A:$D,4,FALSE)</f>
        <v>AIADMK</v>
      </c>
      <c r="I63" s="4" t="str">
        <f t="shared" si="1"/>
        <v>AIADMK</v>
      </c>
    </row>
    <row r="64" spans="1:9" x14ac:dyDescent="0.3">
      <c r="A64" s="4">
        <v>63</v>
      </c>
      <c r="B64" s="4" t="s">
        <v>74</v>
      </c>
      <c r="C64" s="4" t="s">
        <v>74</v>
      </c>
      <c r="D64" s="4" t="s">
        <v>44</v>
      </c>
      <c r="E64" s="4" t="s">
        <v>8</v>
      </c>
      <c r="F64" s="4" t="str">
        <f>VLOOKUP(B64,tn_2021_result!$A:$D,4,FALSE)</f>
        <v>DMK</v>
      </c>
      <c r="G64" s="4" t="str">
        <f t="shared" si="0"/>
        <v>DMK</v>
      </c>
      <c r="H64" s="4" t="str">
        <f>VLOOKUP(B64,tn_2026_result!$A:$D,4,FALSE)</f>
        <v>DMK</v>
      </c>
      <c r="I64" s="4" t="str">
        <f t="shared" si="1"/>
        <v>DMK</v>
      </c>
    </row>
    <row r="65" spans="1:9" x14ac:dyDescent="0.3">
      <c r="A65" s="4">
        <v>64</v>
      </c>
      <c r="B65" s="4" t="s">
        <v>75</v>
      </c>
      <c r="C65" s="4" t="s">
        <v>74</v>
      </c>
      <c r="D65" s="4" t="s">
        <v>44</v>
      </c>
      <c r="E65" s="4" t="s">
        <v>8</v>
      </c>
      <c r="F65" s="4" t="str">
        <f>VLOOKUP(B65,tn_2021_result!$A:$D,4,FALSE)</f>
        <v>DMK</v>
      </c>
      <c r="G65" s="4" t="str">
        <f t="shared" si="0"/>
        <v>DMK</v>
      </c>
      <c r="H65" s="4" t="str">
        <f>VLOOKUP(B65,tn_2026_result!$A:$D,4,FALSE)</f>
        <v>AIADMK</v>
      </c>
      <c r="I65" s="4" t="str">
        <f t="shared" si="1"/>
        <v>AIADMK</v>
      </c>
    </row>
    <row r="66" spans="1:9" x14ac:dyDescent="0.3">
      <c r="A66" s="4">
        <v>65</v>
      </c>
      <c r="B66" s="4" t="s">
        <v>76</v>
      </c>
      <c r="C66" s="4" t="s">
        <v>74</v>
      </c>
      <c r="D66" s="4" t="s">
        <v>44</v>
      </c>
      <c r="E66" s="4" t="s">
        <v>8</v>
      </c>
      <c r="F66" s="4" t="str">
        <f>VLOOKUP(B66,tn_2021_result!$A:$D,4,FALSE)</f>
        <v>DMK</v>
      </c>
      <c r="G66" s="4" t="str">
        <f t="shared" si="0"/>
        <v>DMK</v>
      </c>
      <c r="H66" s="4" t="str">
        <f>VLOOKUP(B66,tn_2026_result!$A:$D,4,FALSE)</f>
        <v>AIADMK</v>
      </c>
      <c r="I66" s="4" t="str">
        <f t="shared" si="1"/>
        <v>AIADMK</v>
      </c>
    </row>
    <row r="67" spans="1:9" x14ac:dyDescent="0.3">
      <c r="A67" s="4">
        <v>66</v>
      </c>
      <c r="B67" s="4" t="s">
        <v>77</v>
      </c>
      <c r="C67" s="4" t="s">
        <v>74</v>
      </c>
      <c r="D67" s="4" t="s">
        <v>44</v>
      </c>
      <c r="E67" s="4" t="s">
        <v>8</v>
      </c>
      <c r="F67" s="4" t="str">
        <f>VLOOKUP(B67,tn_2021_result!$A:$D,4,FALSE)</f>
        <v>AIADMK</v>
      </c>
      <c r="G67" s="4" t="str">
        <f t="shared" ref="G67:G130" si="2">IF(OR(F67="DMK",F67="AIADMK",F67="INC",F67="PMK",F67="TVK"),F67,"Others")</f>
        <v>AIADMK</v>
      </c>
      <c r="H67" s="4" t="str">
        <f>VLOOKUP(B67,tn_2026_result!$A:$D,4,FALSE)</f>
        <v>TVK</v>
      </c>
      <c r="I67" s="4" t="str">
        <f t="shared" ref="I67:I130" si="3">IF(OR(H67="DMK",H67="AIADMK",H67="INC",H67="PMK",H67="TVK"),H67,"Others")</f>
        <v>TVK</v>
      </c>
    </row>
    <row r="68" spans="1:9" x14ac:dyDescent="0.3">
      <c r="A68" s="4">
        <v>67</v>
      </c>
      <c r="B68" s="4" t="s">
        <v>78</v>
      </c>
      <c r="C68" s="4" t="s">
        <v>74</v>
      </c>
      <c r="D68" s="4" t="s">
        <v>44</v>
      </c>
      <c r="E68" s="4" t="s">
        <v>8</v>
      </c>
      <c r="F68" s="4" t="str">
        <f>VLOOKUP(B68,tn_2021_result!$A:$D,4,FALSE)</f>
        <v>AIADMK</v>
      </c>
      <c r="G68" s="4" t="str">
        <f t="shared" si="2"/>
        <v>AIADMK</v>
      </c>
      <c r="H68" s="4" t="str">
        <f>VLOOKUP(B68,tn_2026_result!$A:$D,4,FALSE)</f>
        <v>AIADMK</v>
      </c>
      <c r="I68" s="4" t="str">
        <f t="shared" si="3"/>
        <v>AIADMK</v>
      </c>
    </row>
    <row r="69" spans="1:9" x14ac:dyDescent="0.3">
      <c r="A69" s="4">
        <v>68</v>
      </c>
      <c r="B69" s="4" t="s">
        <v>79</v>
      </c>
      <c r="C69" s="4" t="s">
        <v>74</v>
      </c>
      <c r="D69" s="4" t="s">
        <v>44</v>
      </c>
      <c r="E69" s="4" t="s">
        <v>8</v>
      </c>
      <c r="F69" s="4" t="str">
        <f>VLOOKUP(B69,tn_2021_result!$A:$D,4,FALSE)</f>
        <v>DMK</v>
      </c>
      <c r="G69" s="4" t="str">
        <f t="shared" si="2"/>
        <v>DMK</v>
      </c>
      <c r="H69" s="4" t="str">
        <f>VLOOKUP(B69,tn_2026_result!$A:$D,4,FALSE)</f>
        <v>AIADMK</v>
      </c>
      <c r="I69" s="4" t="str">
        <f t="shared" si="3"/>
        <v>AIADMK</v>
      </c>
    </row>
    <row r="70" spans="1:9" x14ac:dyDescent="0.3">
      <c r="A70" s="4">
        <v>69</v>
      </c>
      <c r="B70" s="4" t="s">
        <v>80</v>
      </c>
      <c r="C70" s="4" t="s">
        <v>74</v>
      </c>
      <c r="D70" s="4" t="s">
        <v>44</v>
      </c>
      <c r="E70" s="4" t="s">
        <v>10</v>
      </c>
      <c r="F70" s="4" t="str">
        <f>VLOOKUP(B70,tn_2021_result!$A:$D,4,FALSE)</f>
        <v>DMK</v>
      </c>
      <c r="G70" s="4" t="str">
        <f t="shared" si="2"/>
        <v>DMK</v>
      </c>
      <c r="H70" s="4" t="str">
        <f>VLOOKUP(B70,tn_2026_result!$A:$D,4,FALSE)</f>
        <v>DMK</v>
      </c>
      <c r="I70" s="4" t="str">
        <f t="shared" si="3"/>
        <v>DMK</v>
      </c>
    </row>
    <row r="71" spans="1:9" x14ac:dyDescent="0.3">
      <c r="A71" s="4">
        <v>70</v>
      </c>
      <c r="B71" s="4" t="s">
        <v>81</v>
      </c>
      <c r="C71" s="4" t="s">
        <v>82</v>
      </c>
      <c r="D71" s="4" t="s">
        <v>83</v>
      </c>
      <c r="E71" s="4" t="s">
        <v>8</v>
      </c>
      <c r="F71" s="4" t="str">
        <f>VLOOKUP(B71,tn_2021_result!$A:$D,4,FALSE)</f>
        <v>DMK</v>
      </c>
      <c r="G71" s="4" t="str">
        <f t="shared" si="2"/>
        <v>DMK</v>
      </c>
      <c r="H71" s="4" t="str">
        <f>VLOOKUP(B71,tn_2026_result!$A:$D,4,FALSE)</f>
        <v>PMK</v>
      </c>
      <c r="I71" s="4" t="str">
        <f t="shared" si="3"/>
        <v>PMK</v>
      </c>
    </row>
    <row r="72" spans="1:9" x14ac:dyDescent="0.3">
      <c r="A72" s="4">
        <v>71</v>
      </c>
      <c r="B72" s="4" t="s">
        <v>84</v>
      </c>
      <c r="C72" s="4" t="s">
        <v>82</v>
      </c>
      <c r="D72" s="4" t="s">
        <v>83</v>
      </c>
      <c r="E72" s="4" t="s">
        <v>8</v>
      </c>
      <c r="F72" s="4" t="str">
        <f>VLOOKUP(B72,tn_2021_result!$A:$D,4,FALSE)</f>
        <v>PMK</v>
      </c>
      <c r="G72" s="4" t="str">
        <f t="shared" si="2"/>
        <v>PMK</v>
      </c>
      <c r="H72" s="4" t="str">
        <f>VLOOKUP(B72,tn_2026_result!$A:$D,4,FALSE)</f>
        <v>AIADMK</v>
      </c>
      <c r="I72" s="4" t="str">
        <f t="shared" si="3"/>
        <v>AIADMK</v>
      </c>
    </row>
    <row r="73" spans="1:9" x14ac:dyDescent="0.3">
      <c r="A73" s="4">
        <v>72</v>
      </c>
      <c r="B73" s="4" t="s">
        <v>85</v>
      </c>
      <c r="C73" s="4" t="s">
        <v>82</v>
      </c>
      <c r="D73" s="4" t="s">
        <v>83</v>
      </c>
      <c r="E73" s="4" t="s">
        <v>10</v>
      </c>
      <c r="F73" s="4" t="str">
        <f>VLOOKUP(B73,tn_2021_result!$A:$D,4,FALSE)</f>
        <v>AIADMK</v>
      </c>
      <c r="G73" s="4" t="str">
        <f t="shared" si="2"/>
        <v>AIADMK</v>
      </c>
      <c r="H73" s="4" t="str">
        <f>VLOOKUP(B73,tn_2026_result!$A:$D,4,FALSE)</f>
        <v>VCK</v>
      </c>
      <c r="I73" s="4" t="str">
        <f t="shared" si="3"/>
        <v>Others</v>
      </c>
    </row>
    <row r="74" spans="1:9" x14ac:dyDescent="0.3">
      <c r="A74" s="4">
        <v>73</v>
      </c>
      <c r="B74" s="4" t="s">
        <v>86</v>
      </c>
      <c r="C74" s="4" t="s">
        <v>82</v>
      </c>
      <c r="D74" s="4" t="s">
        <v>83</v>
      </c>
      <c r="E74" s="4" t="s">
        <v>10</v>
      </c>
      <c r="F74" s="4" t="str">
        <f>VLOOKUP(B74,tn_2021_result!$A:$D,4,FALSE)</f>
        <v>AIADMK</v>
      </c>
      <c r="G74" s="4" t="str">
        <f t="shared" si="2"/>
        <v>AIADMK</v>
      </c>
      <c r="H74" s="4" t="str">
        <f>VLOOKUP(B74,tn_2026_result!$A:$D,4,FALSE)</f>
        <v>DMK</v>
      </c>
      <c r="I74" s="4" t="str">
        <f t="shared" si="3"/>
        <v>DMK</v>
      </c>
    </row>
    <row r="75" spans="1:9" x14ac:dyDescent="0.3">
      <c r="A75" s="4">
        <v>74</v>
      </c>
      <c r="B75" s="4" t="s">
        <v>82</v>
      </c>
      <c r="C75" s="4" t="s">
        <v>82</v>
      </c>
      <c r="D75" s="4" t="s">
        <v>83</v>
      </c>
      <c r="E75" s="4" t="s">
        <v>8</v>
      </c>
      <c r="F75" s="4" t="str">
        <f>VLOOKUP(B75,tn_2021_result!$A:$D,4,FALSE)</f>
        <v>DMK</v>
      </c>
      <c r="G75" s="4" t="str">
        <f t="shared" si="2"/>
        <v>DMK</v>
      </c>
      <c r="H75" s="4" t="str">
        <f>VLOOKUP(B75,tn_2026_result!$A:$D,4,FALSE)</f>
        <v>DMK</v>
      </c>
      <c r="I75" s="4" t="str">
        <f t="shared" si="3"/>
        <v>DMK</v>
      </c>
    </row>
    <row r="76" spans="1:9" x14ac:dyDescent="0.3">
      <c r="A76" s="4">
        <v>75</v>
      </c>
      <c r="B76" s="4" t="s">
        <v>87</v>
      </c>
      <c r="C76" s="4" t="s">
        <v>82</v>
      </c>
      <c r="D76" s="4" t="s">
        <v>83</v>
      </c>
      <c r="E76" s="4" t="s">
        <v>8</v>
      </c>
      <c r="F76" s="4" t="str">
        <f>VLOOKUP(B76,tn_2021_result!$A:$D,4,FALSE)</f>
        <v>DMK</v>
      </c>
      <c r="G76" s="4" t="str">
        <f t="shared" si="2"/>
        <v>DMK</v>
      </c>
      <c r="H76" s="4" t="str">
        <f>VLOOKUP(B76,tn_2026_result!$A:$D,4,FALSE)</f>
        <v>PMK</v>
      </c>
      <c r="I76" s="4" t="str">
        <f t="shared" si="3"/>
        <v>PMK</v>
      </c>
    </row>
    <row r="77" spans="1:9" x14ac:dyDescent="0.3">
      <c r="A77" s="4">
        <v>76</v>
      </c>
      <c r="B77" s="4" t="s">
        <v>88</v>
      </c>
      <c r="C77" s="4" t="s">
        <v>82</v>
      </c>
      <c r="D77" s="4" t="s">
        <v>83</v>
      </c>
      <c r="E77" s="4" t="s">
        <v>8</v>
      </c>
      <c r="F77" s="4" t="str">
        <f>VLOOKUP(B77,tn_2021_result!$A:$D,4,FALSE)</f>
        <v>DMK</v>
      </c>
      <c r="G77" s="4" t="str">
        <f t="shared" si="2"/>
        <v>DMK</v>
      </c>
      <c r="H77" s="4" t="str">
        <f>VLOOKUP(B77,tn_2026_result!$A:$D,4,FALSE)</f>
        <v>AIADMK</v>
      </c>
      <c r="I77" s="4" t="str">
        <f t="shared" si="3"/>
        <v>AIADMK</v>
      </c>
    </row>
    <row r="78" spans="1:9" x14ac:dyDescent="0.3">
      <c r="A78" s="4">
        <v>77</v>
      </c>
      <c r="B78" s="4" t="s">
        <v>89</v>
      </c>
      <c r="C78" s="4" t="s">
        <v>82</v>
      </c>
      <c r="D78" s="4" t="s">
        <v>83</v>
      </c>
      <c r="E78" s="4" t="s">
        <v>8</v>
      </c>
      <c r="F78" s="4" t="str">
        <f>VLOOKUP(B78,tn_2021_result!$A:$D,4,FALSE)</f>
        <v>DMK</v>
      </c>
      <c r="G78" s="4" t="str">
        <f t="shared" si="2"/>
        <v>DMK</v>
      </c>
      <c r="H78" s="4" t="str">
        <f>VLOOKUP(B78,tn_2026_result!$A:$D,4,FALSE)</f>
        <v>DMK</v>
      </c>
      <c r="I78" s="4" t="str">
        <f t="shared" si="3"/>
        <v>DMK</v>
      </c>
    </row>
    <row r="79" spans="1:9" x14ac:dyDescent="0.3">
      <c r="A79" s="4">
        <v>78</v>
      </c>
      <c r="B79" s="4" t="s">
        <v>90</v>
      </c>
      <c r="C79" s="4" t="s">
        <v>82</v>
      </c>
      <c r="D79" s="4" t="s">
        <v>83</v>
      </c>
      <c r="E79" s="4" t="s">
        <v>8</v>
      </c>
      <c r="F79" s="4" t="str">
        <f>VLOOKUP(B79,tn_2021_result!$A:$D,4,FALSE)</f>
        <v>DMK</v>
      </c>
      <c r="G79" s="4" t="str">
        <f t="shared" si="2"/>
        <v>DMK</v>
      </c>
      <c r="H79" s="4" t="str">
        <f>VLOOKUP(B79,tn_2026_result!$A:$D,4,FALSE)</f>
        <v>DMK</v>
      </c>
      <c r="I79" s="4" t="str">
        <f t="shared" si="3"/>
        <v>DMK</v>
      </c>
    </row>
    <row r="80" spans="1:9" x14ac:dyDescent="0.3">
      <c r="A80" s="4">
        <v>79</v>
      </c>
      <c r="B80" s="4" t="s">
        <v>91</v>
      </c>
      <c r="C80" s="4" t="s">
        <v>82</v>
      </c>
      <c r="D80" s="4" t="s">
        <v>83</v>
      </c>
      <c r="E80" s="4" t="s">
        <v>8</v>
      </c>
      <c r="F80" s="4" t="str">
        <f>VLOOKUP(B80,tn_2021_result!$A:$D,4,FALSE)</f>
        <v>DMK</v>
      </c>
      <c r="G80" s="4" t="str">
        <f t="shared" si="2"/>
        <v>DMK</v>
      </c>
      <c r="H80" s="4" t="str">
        <f>VLOOKUP(B80,tn_2026_result!$A:$D,4,FALSE)</f>
        <v>AIADMK</v>
      </c>
      <c r="I80" s="4" t="str">
        <f t="shared" si="3"/>
        <v>AIADMK</v>
      </c>
    </row>
    <row r="81" spans="1:9" x14ac:dyDescent="0.3">
      <c r="A81" s="4">
        <v>80</v>
      </c>
      <c r="B81" s="4" t="s">
        <v>92</v>
      </c>
      <c r="C81" s="4" t="s">
        <v>82</v>
      </c>
      <c r="D81" s="4" t="s">
        <v>83</v>
      </c>
      <c r="E81" s="4" t="s">
        <v>10</v>
      </c>
      <c r="F81" s="4" t="str">
        <f>VLOOKUP(B81,tn_2021_result!$A:$D,4,FALSE)</f>
        <v>AIADMK</v>
      </c>
      <c r="G81" s="4" t="str">
        <f t="shared" si="2"/>
        <v>AIADMK</v>
      </c>
      <c r="H81" s="4" t="str">
        <f>VLOOKUP(B81,tn_2026_result!$A:$D,4,FALSE)</f>
        <v>TVK</v>
      </c>
      <c r="I81" s="4" t="str">
        <f t="shared" si="3"/>
        <v>TVK</v>
      </c>
    </row>
    <row r="82" spans="1:9" x14ac:dyDescent="0.3">
      <c r="A82" s="4">
        <v>81</v>
      </c>
      <c r="B82" s="4" t="s">
        <v>93</v>
      </c>
      <c r="C82" s="4" t="s">
        <v>94</v>
      </c>
      <c r="D82" s="4" t="s">
        <v>83</v>
      </c>
      <c r="E82" s="4" t="s">
        <v>10</v>
      </c>
      <c r="F82" s="4" t="str">
        <f>VLOOKUP(B82,tn_2021_result!$A:$D,4,FALSE)</f>
        <v>AIADMK</v>
      </c>
      <c r="G82" s="4" t="str">
        <f t="shared" si="2"/>
        <v>AIADMK</v>
      </c>
      <c r="H82" s="4" t="str">
        <f>VLOOKUP(B82,tn_2026_result!$A:$D,4,FALSE)</f>
        <v>AIADMK</v>
      </c>
      <c r="I82" s="4" t="str">
        <f t="shared" si="3"/>
        <v>AIADMK</v>
      </c>
    </row>
    <row r="83" spans="1:9" x14ac:dyDescent="0.3">
      <c r="A83" s="4">
        <v>82</v>
      </c>
      <c r="B83" s="4" t="s">
        <v>95</v>
      </c>
      <c r="C83" s="4" t="s">
        <v>94</v>
      </c>
      <c r="D83" s="4" t="s">
        <v>83</v>
      </c>
      <c r="E83" s="4" t="s">
        <v>10</v>
      </c>
      <c r="F83" s="4" t="str">
        <f>VLOOKUP(B83,tn_2021_result!$A:$D,4,FALSE)</f>
        <v>AIADMK</v>
      </c>
      <c r="G83" s="4" t="str">
        <f t="shared" si="2"/>
        <v>AIADMK</v>
      </c>
      <c r="H83" s="4" t="str">
        <f>VLOOKUP(B83,tn_2026_result!$A:$D,4,FALSE)</f>
        <v>AIADMK</v>
      </c>
      <c r="I83" s="4" t="str">
        <f t="shared" si="3"/>
        <v>AIADMK</v>
      </c>
    </row>
    <row r="84" spans="1:9" x14ac:dyDescent="0.3">
      <c r="A84" s="4">
        <v>83</v>
      </c>
      <c r="B84" s="4" t="s">
        <v>96</v>
      </c>
      <c r="C84" s="4" t="s">
        <v>94</v>
      </c>
      <c r="D84" s="4" t="s">
        <v>83</v>
      </c>
      <c r="E84" s="4" t="s">
        <v>97</v>
      </c>
      <c r="F84" s="4" t="str">
        <f>VLOOKUP(B84,tn_2021_result!$A:$D,4,FALSE)</f>
        <v>AIADMK</v>
      </c>
      <c r="G84" s="4" t="str">
        <f t="shared" si="2"/>
        <v>AIADMK</v>
      </c>
      <c r="H84" s="4" t="str">
        <f>VLOOKUP(B84,tn_2026_result!$A:$D,4,FALSE)</f>
        <v>AIADMK</v>
      </c>
      <c r="I84" s="4" t="str">
        <f t="shared" si="3"/>
        <v>AIADMK</v>
      </c>
    </row>
    <row r="85" spans="1:9" x14ac:dyDescent="0.3">
      <c r="A85" s="4">
        <v>84</v>
      </c>
      <c r="B85" s="4" t="s">
        <v>98</v>
      </c>
      <c r="C85" s="4" t="s">
        <v>94</v>
      </c>
      <c r="D85" s="4" t="s">
        <v>83</v>
      </c>
      <c r="E85" s="4" t="s">
        <v>8</v>
      </c>
      <c r="F85" s="4" t="str">
        <f>VLOOKUP(B85,tn_2021_result!$A:$D,4,FALSE)</f>
        <v>AIADMK</v>
      </c>
      <c r="G85" s="4" t="str">
        <f t="shared" si="2"/>
        <v>AIADMK</v>
      </c>
      <c r="H85" s="4" t="str">
        <f>VLOOKUP(B85,tn_2026_result!$A:$D,4,FALSE)</f>
        <v>AIADMK</v>
      </c>
      <c r="I85" s="4" t="str">
        <f t="shared" si="3"/>
        <v>AIADMK</v>
      </c>
    </row>
    <row r="86" spans="1:9" x14ac:dyDescent="0.3">
      <c r="A86" s="4">
        <v>85</v>
      </c>
      <c r="B86" s="4" t="s">
        <v>99</v>
      </c>
      <c r="C86" s="4" t="s">
        <v>94</v>
      </c>
      <c r="D86" s="4" t="s">
        <v>83</v>
      </c>
      <c r="E86" s="4" t="s">
        <v>8</v>
      </c>
      <c r="F86" s="4" t="str">
        <f>VLOOKUP(B86,tn_2021_result!$A:$D,4,FALSE)</f>
        <v>PMK</v>
      </c>
      <c r="G86" s="4" t="str">
        <f t="shared" si="2"/>
        <v>PMK</v>
      </c>
      <c r="H86" s="4" t="str">
        <f>VLOOKUP(B86,tn_2026_result!$A:$D,4,FALSE)</f>
        <v>AIADMK</v>
      </c>
      <c r="I86" s="4" t="str">
        <f t="shared" si="3"/>
        <v>AIADMK</v>
      </c>
    </row>
    <row r="87" spans="1:9" x14ac:dyDescent="0.3">
      <c r="A87" s="4">
        <v>86</v>
      </c>
      <c r="B87" s="4" t="s">
        <v>100</v>
      </c>
      <c r="C87" s="4" t="s">
        <v>94</v>
      </c>
      <c r="D87" s="4" t="s">
        <v>83</v>
      </c>
      <c r="E87" s="4" t="s">
        <v>8</v>
      </c>
      <c r="F87" s="4" t="str">
        <f>VLOOKUP(B87,tn_2021_result!$A:$D,4,FALSE)</f>
        <v>AIADMK</v>
      </c>
      <c r="G87" s="4" t="str">
        <f t="shared" si="2"/>
        <v>AIADMK</v>
      </c>
      <c r="H87" s="4" t="str">
        <f>VLOOKUP(B87,tn_2026_result!$A:$D,4,FALSE)</f>
        <v>AIADMK</v>
      </c>
      <c r="I87" s="4" t="str">
        <f t="shared" si="3"/>
        <v>AIADMK</v>
      </c>
    </row>
    <row r="88" spans="1:9" x14ac:dyDescent="0.3">
      <c r="A88" s="4">
        <v>87</v>
      </c>
      <c r="B88" s="4" t="s">
        <v>101</v>
      </c>
      <c r="C88" s="4" t="s">
        <v>94</v>
      </c>
      <c r="D88" s="4" t="s">
        <v>83</v>
      </c>
      <c r="E88" s="4" t="s">
        <v>8</v>
      </c>
      <c r="F88" s="4" t="str">
        <f>VLOOKUP(B88,tn_2021_result!$A:$D,4,FALSE)</f>
        <v>AIADMK</v>
      </c>
      <c r="G88" s="4" t="str">
        <f t="shared" si="2"/>
        <v>AIADMK</v>
      </c>
      <c r="H88" s="4" t="str">
        <f>VLOOKUP(B88,tn_2026_result!$A:$D,4,FALSE)</f>
        <v>AIADMK</v>
      </c>
      <c r="I88" s="4" t="str">
        <f t="shared" si="3"/>
        <v>AIADMK</v>
      </c>
    </row>
    <row r="89" spans="1:9" x14ac:dyDescent="0.3">
      <c r="A89" s="4">
        <v>88</v>
      </c>
      <c r="B89" s="4" t="s">
        <v>102</v>
      </c>
      <c r="C89" s="4" t="s">
        <v>94</v>
      </c>
      <c r="D89" s="4" t="s">
        <v>83</v>
      </c>
      <c r="E89" s="4" t="s">
        <v>8</v>
      </c>
      <c r="F89" s="4" t="str">
        <f>VLOOKUP(B89,tn_2021_result!$A:$D,4,FALSE)</f>
        <v>PMK</v>
      </c>
      <c r="G89" s="4" t="str">
        <f t="shared" si="2"/>
        <v>PMK</v>
      </c>
      <c r="H89" s="4" t="str">
        <f>VLOOKUP(B89,tn_2026_result!$A:$D,4,FALSE)</f>
        <v>TVK</v>
      </c>
      <c r="I89" s="4" t="str">
        <f t="shared" si="3"/>
        <v>TVK</v>
      </c>
    </row>
    <row r="90" spans="1:9" x14ac:dyDescent="0.3">
      <c r="A90" s="4">
        <v>89</v>
      </c>
      <c r="B90" s="4" t="s">
        <v>103</v>
      </c>
      <c r="C90" s="4" t="s">
        <v>94</v>
      </c>
      <c r="D90" s="4" t="s">
        <v>83</v>
      </c>
      <c r="E90" s="4" t="s">
        <v>8</v>
      </c>
      <c r="F90" s="4" t="str">
        <f>VLOOKUP(B90,tn_2021_result!$A:$D,4,FALSE)</f>
        <v>DMK</v>
      </c>
      <c r="G90" s="4" t="str">
        <f t="shared" si="2"/>
        <v>DMK</v>
      </c>
      <c r="H90" s="4" t="str">
        <f>VLOOKUP(B90,tn_2026_result!$A:$D,4,FALSE)</f>
        <v>TVK</v>
      </c>
      <c r="I90" s="4" t="str">
        <f t="shared" si="3"/>
        <v>TVK</v>
      </c>
    </row>
    <row r="91" spans="1:9" x14ac:dyDescent="0.3">
      <c r="A91" s="4">
        <v>90</v>
      </c>
      <c r="B91" s="4" t="s">
        <v>104</v>
      </c>
      <c r="C91" s="4" t="s">
        <v>94</v>
      </c>
      <c r="D91" s="4" t="s">
        <v>83</v>
      </c>
      <c r="E91" s="4" t="s">
        <v>8</v>
      </c>
      <c r="F91" s="4" t="str">
        <f>VLOOKUP(B91,tn_2021_result!$A:$D,4,FALSE)</f>
        <v>AIADMK</v>
      </c>
      <c r="G91" s="4" t="str">
        <f t="shared" si="2"/>
        <v>AIADMK</v>
      </c>
      <c r="H91" s="4" t="str">
        <f>VLOOKUP(B91,tn_2026_result!$A:$D,4,FALSE)</f>
        <v>TVK</v>
      </c>
      <c r="I91" s="4" t="str">
        <f t="shared" si="3"/>
        <v>TVK</v>
      </c>
    </row>
    <row r="92" spans="1:9" x14ac:dyDescent="0.3">
      <c r="A92" s="4">
        <v>91</v>
      </c>
      <c r="B92" s="4" t="s">
        <v>105</v>
      </c>
      <c r="C92" s="4" t="s">
        <v>94</v>
      </c>
      <c r="D92" s="4" t="s">
        <v>83</v>
      </c>
      <c r="E92" s="4" t="s">
        <v>8</v>
      </c>
      <c r="F92" s="4" t="str">
        <f>VLOOKUP(B92,tn_2021_result!$A:$D,4,FALSE)</f>
        <v>AIADMK</v>
      </c>
      <c r="G92" s="4" t="str">
        <f t="shared" si="2"/>
        <v>AIADMK</v>
      </c>
      <c r="H92" s="4" t="str">
        <f>VLOOKUP(B92,tn_2026_result!$A:$D,4,FALSE)</f>
        <v>TVK</v>
      </c>
      <c r="I92" s="4" t="str">
        <f t="shared" si="3"/>
        <v>TVK</v>
      </c>
    </row>
    <row r="93" spans="1:9" x14ac:dyDescent="0.3">
      <c r="A93" s="4">
        <v>92</v>
      </c>
      <c r="B93" s="4" t="s">
        <v>106</v>
      </c>
      <c r="C93" s="4" t="s">
        <v>107</v>
      </c>
      <c r="D93" s="4" t="s">
        <v>83</v>
      </c>
      <c r="E93" s="4" t="s">
        <v>10</v>
      </c>
      <c r="F93" s="4" t="str">
        <f>VLOOKUP(B93,tn_2021_result!$A:$D,4,FALSE)</f>
        <v>DMK</v>
      </c>
      <c r="G93" s="4" t="str">
        <f t="shared" si="2"/>
        <v>DMK</v>
      </c>
      <c r="H93" s="4" t="str">
        <f>VLOOKUP(B93,tn_2026_result!$A:$D,4,FALSE)</f>
        <v>TVK</v>
      </c>
      <c r="I93" s="4" t="str">
        <f t="shared" si="3"/>
        <v>TVK</v>
      </c>
    </row>
    <row r="94" spans="1:9" x14ac:dyDescent="0.3">
      <c r="A94" s="4">
        <v>93</v>
      </c>
      <c r="B94" s="4" t="s">
        <v>108</v>
      </c>
      <c r="C94" s="4" t="s">
        <v>107</v>
      </c>
      <c r="D94" s="4" t="s">
        <v>83</v>
      </c>
      <c r="E94" s="4" t="s">
        <v>97</v>
      </c>
      <c r="F94" s="4" t="str">
        <f>VLOOKUP(B94,tn_2021_result!$A:$D,4,FALSE)</f>
        <v>DMK</v>
      </c>
      <c r="G94" s="4" t="str">
        <f t="shared" si="2"/>
        <v>DMK</v>
      </c>
      <c r="H94" s="4" t="str">
        <f>VLOOKUP(B94,tn_2026_result!$A:$D,4,FALSE)</f>
        <v>TVK</v>
      </c>
      <c r="I94" s="4" t="str">
        <f t="shared" si="3"/>
        <v>TVK</v>
      </c>
    </row>
    <row r="95" spans="1:9" x14ac:dyDescent="0.3">
      <c r="A95" s="4">
        <v>94</v>
      </c>
      <c r="B95" s="4" t="s">
        <v>107</v>
      </c>
      <c r="C95" s="4" t="s">
        <v>107</v>
      </c>
      <c r="D95" s="4" t="s">
        <v>83</v>
      </c>
      <c r="E95" s="4" t="s">
        <v>8</v>
      </c>
      <c r="F95" s="4" t="str">
        <f>VLOOKUP(B95,tn_2021_result!$A:$D,4,FALSE)</f>
        <v>DMK</v>
      </c>
      <c r="G95" s="4" t="str">
        <f t="shared" si="2"/>
        <v>DMK</v>
      </c>
      <c r="H95" s="4" t="str">
        <f>VLOOKUP(B95,tn_2026_result!$A:$D,4,FALSE)</f>
        <v>TVK</v>
      </c>
      <c r="I95" s="4" t="str">
        <f t="shared" si="3"/>
        <v>TVK</v>
      </c>
    </row>
    <row r="96" spans="1:9" x14ac:dyDescent="0.3">
      <c r="A96" s="4">
        <v>95</v>
      </c>
      <c r="B96" s="4" t="s">
        <v>109</v>
      </c>
      <c r="C96" s="4" t="s">
        <v>107</v>
      </c>
      <c r="D96" s="4" t="s">
        <v>83</v>
      </c>
      <c r="E96" s="4" t="s">
        <v>8</v>
      </c>
      <c r="F96" s="4" t="str">
        <f>VLOOKUP(B96,tn_2021_result!$A:$D,4,FALSE)</f>
        <v>AIADMK</v>
      </c>
      <c r="G96" s="4" t="str">
        <f t="shared" si="2"/>
        <v>AIADMK</v>
      </c>
      <c r="H96" s="4" t="str">
        <f>VLOOKUP(B96,tn_2026_result!$A:$D,4,FALSE)</f>
        <v>AIADMK</v>
      </c>
      <c r="I96" s="4" t="str">
        <f t="shared" si="3"/>
        <v>AIADMK</v>
      </c>
    </row>
    <row r="97" spans="1:9" x14ac:dyDescent="0.3">
      <c r="A97" s="4">
        <v>96</v>
      </c>
      <c r="B97" s="4" t="s">
        <v>110</v>
      </c>
      <c r="C97" s="4" t="s">
        <v>107</v>
      </c>
      <c r="D97" s="4" t="s">
        <v>83</v>
      </c>
      <c r="E97" s="4" t="s">
        <v>8</v>
      </c>
      <c r="F97" s="4" t="str">
        <f>VLOOKUP(B97,tn_2021_result!$A:$D,4,FALSE)</f>
        <v>DMK</v>
      </c>
      <c r="G97" s="4" t="str">
        <f t="shared" si="2"/>
        <v>DMK</v>
      </c>
      <c r="H97" s="4" t="str">
        <f>VLOOKUP(B97,tn_2026_result!$A:$D,4,FALSE)</f>
        <v>TVK</v>
      </c>
      <c r="I97" s="4" t="str">
        <f t="shared" si="3"/>
        <v>TVK</v>
      </c>
    </row>
    <row r="98" spans="1:9" x14ac:dyDescent="0.3">
      <c r="A98" s="4">
        <v>97</v>
      </c>
      <c r="B98" s="4" t="s">
        <v>111</v>
      </c>
      <c r="C98" s="4" t="s">
        <v>107</v>
      </c>
      <c r="D98" s="4" t="s">
        <v>83</v>
      </c>
      <c r="E98" s="4" t="s">
        <v>8</v>
      </c>
      <c r="F98" s="4" t="str">
        <f>VLOOKUP(B98,tn_2021_result!$A:$D,4,FALSE)</f>
        <v>AIADMK</v>
      </c>
      <c r="G98" s="4" t="str">
        <f t="shared" si="2"/>
        <v>AIADMK</v>
      </c>
      <c r="H98" s="4" t="str">
        <f>VLOOKUP(B98,tn_2026_result!$A:$D,4,FALSE)</f>
        <v>TVK</v>
      </c>
      <c r="I98" s="4" t="str">
        <f t="shared" si="3"/>
        <v>TVK</v>
      </c>
    </row>
    <row r="99" spans="1:9" x14ac:dyDescent="0.3">
      <c r="A99" s="4">
        <v>98</v>
      </c>
      <c r="B99" s="4" t="s">
        <v>112</v>
      </c>
      <c r="C99" s="4" t="s">
        <v>113</v>
      </c>
      <c r="D99" s="4" t="s">
        <v>114</v>
      </c>
      <c r="E99" s="4" t="s">
        <v>8</v>
      </c>
      <c r="F99" s="4" t="str">
        <f>VLOOKUP(B99,tn_2021_result!$A:$D,4,FALSE)</f>
        <v>INC</v>
      </c>
      <c r="G99" s="4" t="str">
        <f t="shared" si="2"/>
        <v>INC</v>
      </c>
      <c r="H99" s="4" t="str">
        <f>VLOOKUP(B99,tn_2026_result!$A:$D,4,FALSE)</f>
        <v>TVK</v>
      </c>
      <c r="I99" s="4" t="str">
        <f t="shared" si="3"/>
        <v>TVK</v>
      </c>
    </row>
    <row r="100" spans="1:9" x14ac:dyDescent="0.3">
      <c r="A100" s="4">
        <v>99</v>
      </c>
      <c r="B100" s="4" t="s">
        <v>115</v>
      </c>
      <c r="C100" s="4" t="s">
        <v>113</v>
      </c>
      <c r="D100" s="4" t="s">
        <v>114</v>
      </c>
      <c r="E100" s="4" t="s">
        <v>8</v>
      </c>
      <c r="F100" s="4" t="str">
        <f>VLOOKUP(B100,tn_2021_result!$A:$D,4,FALSE)</f>
        <v>DMK</v>
      </c>
      <c r="G100" s="4" t="str">
        <f t="shared" si="2"/>
        <v>DMK</v>
      </c>
      <c r="H100" s="4" t="str">
        <f>VLOOKUP(B100,tn_2026_result!$A:$D,4,FALSE)</f>
        <v>TVK</v>
      </c>
      <c r="I100" s="4" t="str">
        <f t="shared" si="3"/>
        <v>TVK</v>
      </c>
    </row>
    <row r="101" spans="1:9" x14ac:dyDescent="0.3">
      <c r="A101" s="4">
        <v>100</v>
      </c>
      <c r="B101" s="4" t="s">
        <v>116</v>
      </c>
      <c r="C101" s="4" t="s">
        <v>113</v>
      </c>
      <c r="D101" s="4" t="s">
        <v>114</v>
      </c>
      <c r="E101" s="4" t="s">
        <v>8</v>
      </c>
      <c r="F101" s="4" t="str">
        <f>VLOOKUP(B101,tn_2021_result!$A:$D,4,FALSE)</f>
        <v>BJP</v>
      </c>
      <c r="G101" s="4" t="str">
        <f t="shared" si="2"/>
        <v>Others</v>
      </c>
      <c r="H101" s="4" t="str">
        <f>VLOOKUP(B101,tn_2026_result!$A:$D,4,FALSE)</f>
        <v>TVK</v>
      </c>
      <c r="I101" s="4" t="str">
        <f t="shared" si="3"/>
        <v>TVK</v>
      </c>
    </row>
    <row r="102" spans="1:9" x14ac:dyDescent="0.3">
      <c r="A102" s="4">
        <v>101</v>
      </c>
      <c r="B102" s="4" t="s">
        <v>117</v>
      </c>
      <c r="C102" s="4" t="s">
        <v>113</v>
      </c>
      <c r="D102" s="4" t="s">
        <v>114</v>
      </c>
      <c r="E102" s="4" t="s">
        <v>10</v>
      </c>
      <c r="F102" s="4" t="str">
        <f>VLOOKUP(B102,tn_2021_result!$A:$D,4,FALSE)</f>
        <v>DMK</v>
      </c>
      <c r="G102" s="4" t="str">
        <f t="shared" si="2"/>
        <v>DMK</v>
      </c>
      <c r="H102" s="4" t="str">
        <f>VLOOKUP(B102,tn_2026_result!$A:$D,4,FALSE)</f>
        <v>AIADMK</v>
      </c>
      <c r="I102" s="4" t="str">
        <f t="shared" si="3"/>
        <v>AIADMK</v>
      </c>
    </row>
    <row r="103" spans="1:9" x14ac:dyDescent="0.3">
      <c r="A103" s="4">
        <v>102</v>
      </c>
      <c r="B103" s="4" t="s">
        <v>118</v>
      </c>
      <c r="C103" s="4" t="s">
        <v>113</v>
      </c>
      <c r="D103" s="4" t="s">
        <v>114</v>
      </c>
      <c r="E103" s="4" t="s">
        <v>8</v>
      </c>
      <c r="F103" s="4" t="str">
        <f>VLOOKUP(B103,tn_2021_result!$A:$D,4,FALSE)</f>
        <v>DMK</v>
      </c>
      <c r="G103" s="4" t="str">
        <f t="shared" si="2"/>
        <v>DMK</v>
      </c>
      <c r="H103" s="4" t="str">
        <f>VLOOKUP(B103,tn_2026_result!$A:$D,4,FALSE)</f>
        <v>AIADMK</v>
      </c>
      <c r="I103" s="4" t="str">
        <f t="shared" si="3"/>
        <v>AIADMK</v>
      </c>
    </row>
    <row r="104" spans="1:9" x14ac:dyDescent="0.3">
      <c r="A104" s="4">
        <v>103</v>
      </c>
      <c r="B104" s="4" t="s">
        <v>119</v>
      </c>
      <c r="C104" s="4" t="s">
        <v>113</v>
      </c>
      <c r="D104" s="4" t="s">
        <v>114</v>
      </c>
      <c r="E104" s="4" t="s">
        <v>8</v>
      </c>
      <c r="F104" s="4" t="str">
        <f>VLOOKUP(B104,tn_2021_result!$A:$D,4,FALSE)</f>
        <v>AIADMK</v>
      </c>
      <c r="G104" s="4" t="str">
        <f t="shared" si="2"/>
        <v>AIADMK</v>
      </c>
      <c r="H104" s="4" t="str">
        <f>VLOOKUP(B104,tn_2026_result!$A:$D,4,FALSE)</f>
        <v>AIADMK</v>
      </c>
      <c r="I104" s="4" t="str">
        <f t="shared" si="3"/>
        <v>AIADMK</v>
      </c>
    </row>
    <row r="105" spans="1:9" x14ac:dyDescent="0.3">
      <c r="A105" s="4">
        <v>104</v>
      </c>
      <c r="B105" s="4" t="s">
        <v>120</v>
      </c>
      <c r="C105" s="4" t="s">
        <v>113</v>
      </c>
      <c r="D105" s="4" t="s">
        <v>114</v>
      </c>
      <c r="E105" s="4" t="s">
        <v>8</v>
      </c>
      <c r="F105" s="4" t="str">
        <f>VLOOKUP(B105,tn_2021_result!$A:$D,4,FALSE)</f>
        <v>AIADMK</v>
      </c>
      <c r="G105" s="4" t="str">
        <f t="shared" si="2"/>
        <v>AIADMK</v>
      </c>
      <c r="H105" s="4" t="str">
        <f>VLOOKUP(B105,tn_2026_result!$A:$D,4,FALSE)</f>
        <v>AIADMK</v>
      </c>
      <c r="I105" s="4" t="str">
        <f t="shared" si="3"/>
        <v>AIADMK</v>
      </c>
    </row>
    <row r="106" spans="1:9" x14ac:dyDescent="0.3">
      <c r="A106" s="4">
        <v>105</v>
      </c>
      <c r="B106" s="4" t="s">
        <v>121</v>
      </c>
      <c r="C106" s="4" t="s">
        <v>113</v>
      </c>
      <c r="D106" s="4" t="s">
        <v>114</v>
      </c>
      <c r="E106" s="4" t="s">
        <v>8</v>
      </c>
      <c r="F106" s="4" t="str">
        <f>VLOOKUP(B106,tn_2021_result!$A:$D,4,FALSE)</f>
        <v>DMK</v>
      </c>
      <c r="G106" s="4" t="str">
        <f t="shared" si="2"/>
        <v>DMK</v>
      </c>
      <c r="H106" s="4" t="str">
        <f>VLOOKUP(B106,tn_2026_result!$A:$D,4,FALSE)</f>
        <v>AIADMK</v>
      </c>
      <c r="I106" s="4" t="str">
        <f t="shared" si="3"/>
        <v>AIADMK</v>
      </c>
    </row>
    <row r="107" spans="1:9" x14ac:dyDescent="0.3">
      <c r="A107" s="4">
        <v>106</v>
      </c>
      <c r="B107" s="4" t="s">
        <v>122</v>
      </c>
      <c r="C107" s="4" t="s">
        <v>123</v>
      </c>
      <c r="D107" s="4" t="s">
        <v>114</v>
      </c>
      <c r="E107" s="4" t="s">
        <v>8</v>
      </c>
      <c r="F107" s="4" t="str">
        <f>VLOOKUP(B107,tn_2021_result!$A:$D,4,FALSE)</f>
        <v>AIADMK</v>
      </c>
      <c r="G107" s="4" t="str">
        <f t="shared" si="2"/>
        <v>AIADMK</v>
      </c>
      <c r="H107" s="4" t="str">
        <f>VLOOKUP(B107,tn_2026_result!$A:$D,4,FALSE)</f>
        <v>TVK</v>
      </c>
      <c r="I107" s="4" t="str">
        <f t="shared" si="3"/>
        <v>TVK</v>
      </c>
    </row>
    <row r="108" spans="1:9" x14ac:dyDescent="0.3">
      <c r="A108" s="4">
        <v>107</v>
      </c>
      <c r="B108" s="4" t="s">
        <v>124</v>
      </c>
      <c r="C108" s="4" t="s">
        <v>123</v>
      </c>
      <c r="D108" s="4" t="s">
        <v>114</v>
      </c>
      <c r="E108" s="4" t="s">
        <v>10</v>
      </c>
      <c r="F108" s="4" t="str">
        <f>VLOOKUP(B108,tn_2021_result!$A:$D,4,FALSE)</f>
        <v>AIADMK</v>
      </c>
      <c r="G108" s="4" t="str">
        <f t="shared" si="2"/>
        <v>AIADMK</v>
      </c>
      <c r="H108" s="4" t="str">
        <f>VLOOKUP(B108,tn_2026_result!$A:$D,4,FALSE)</f>
        <v>TVK</v>
      </c>
      <c r="I108" s="4" t="str">
        <f t="shared" si="3"/>
        <v>TVK</v>
      </c>
    </row>
    <row r="109" spans="1:9" x14ac:dyDescent="0.3">
      <c r="A109" s="4">
        <v>108</v>
      </c>
      <c r="B109" s="4" t="s">
        <v>125</v>
      </c>
      <c r="C109" s="4" t="s">
        <v>123</v>
      </c>
      <c r="D109" s="4" t="s">
        <v>114</v>
      </c>
      <c r="E109" s="4" t="s">
        <v>8</v>
      </c>
      <c r="F109" s="4" t="str">
        <f>VLOOKUP(B109,tn_2021_result!$A:$D,4,FALSE)</f>
        <v>INC</v>
      </c>
      <c r="G109" s="4" t="str">
        <f t="shared" si="2"/>
        <v>INC</v>
      </c>
      <c r="H109" s="4" t="str">
        <f>VLOOKUP(B109,tn_2026_result!$A:$D,4,FALSE)</f>
        <v>BJP</v>
      </c>
      <c r="I109" s="4" t="str">
        <f t="shared" si="3"/>
        <v>Others</v>
      </c>
    </row>
    <row r="110" spans="1:9" x14ac:dyDescent="0.3">
      <c r="A110" s="4">
        <v>109</v>
      </c>
      <c r="B110" s="4" t="s">
        <v>126</v>
      </c>
      <c r="C110" s="4" t="s">
        <v>123</v>
      </c>
      <c r="D110" s="4" t="s">
        <v>114</v>
      </c>
      <c r="E110" s="4" t="s">
        <v>10</v>
      </c>
      <c r="F110" s="4" t="str">
        <f>VLOOKUP(B110,tn_2021_result!$A:$D,4,FALSE)</f>
        <v>AIADMK</v>
      </c>
      <c r="G110" s="4" t="str">
        <f t="shared" si="2"/>
        <v>AIADMK</v>
      </c>
      <c r="H110" s="4" t="str">
        <f>VLOOKUP(B110,tn_2026_result!$A:$D,4,FALSE)</f>
        <v>DMK</v>
      </c>
      <c r="I110" s="4" t="str">
        <f t="shared" si="3"/>
        <v>DMK</v>
      </c>
    </row>
    <row r="111" spans="1:9" x14ac:dyDescent="0.3">
      <c r="A111" s="4">
        <v>110</v>
      </c>
      <c r="B111" s="4" t="s">
        <v>127</v>
      </c>
      <c r="C111" s="4" t="s">
        <v>123</v>
      </c>
      <c r="D111" s="4" t="s">
        <v>114</v>
      </c>
      <c r="E111" s="4" t="s">
        <v>8</v>
      </c>
      <c r="F111" s="4" t="str">
        <f>VLOOKUP(B111,tn_2021_result!$A:$D,4,FALSE)</f>
        <v>DMK</v>
      </c>
      <c r="G111" s="4" t="str">
        <f t="shared" si="2"/>
        <v>DMK</v>
      </c>
      <c r="H111" s="4" t="str">
        <f>VLOOKUP(B111,tn_2026_result!$A:$D,4,FALSE)</f>
        <v>DMK</v>
      </c>
      <c r="I111" s="4" t="str">
        <f t="shared" si="3"/>
        <v>DMK</v>
      </c>
    </row>
    <row r="112" spans="1:9" x14ac:dyDescent="0.3">
      <c r="A112" s="4">
        <v>111</v>
      </c>
      <c r="B112" s="4" t="s">
        <v>128</v>
      </c>
      <c r="C112" s="4" t="s">
        <v>123</v>
      </c>
      <c r="D112" s="4" t="s">
        <v>114</v>
      </c>
      <c r="E112" s="4" t="s">
        <v>8</v>
      </c>
      <c r="F112" s="4" t="str">
        <f>VLOOKUP(B112,tn_2021_result!$A:$D,4,FALSE)</f>
        <v>AIADMK</v>
      </c>
      <c r="G112" s="4" t="str">
        <f t="shared" si="2"/>
        <v>AIADMK</v>
      </c>
      <c r="H112" s="4" t="str">
        <f>VLOOKUP(B112,tn_2026_result!$A:$D,4,FALSE)</f>
        <v>TVK</v>
      </c>
      <c r="I112" s="4" t="str">
        <f t="shared" si="3"/>
        <v>TVK</v>
      </c>
    </row>
    <row r="113" spans="1:9" x14ac:dyDescent="0.3">
      <c r="A113" s="4">
        <v>112</v>
      </c>
      <c r="B113" s="4" t="s">
        <v>129</v>
      </c>
      <c r="C113" s="4" t="s">
        <v>123</v>
      </c>
      <c r="D113" s="4" t="s">
        <v>114</v>
      </c>
      <c r="E113" s="4" t="s">
        <v>10</v>
      </c>
      <c r="F113" s="4" t="str">
        <f>VLOOKUP(B113,tn_2021_result!$A:$D,4,FALSE)</f>
        <v>AIADMK</v>
      </c>
      <c r="G113" s="4" t="str">
        <f t="shared" si="2"/>
        <v>AIADMK</v>
      </c>
      <c r="H113" s="4" t="str">
        <f>VLOOKUP(B113,tn_2026_result!$A:$D,4,FALSE)</f>
        <v>TVK</v>
      </c>
      <c r="I113" s="4" t="str">
        <f t="shared" si="3"/>
        <v>TVK</v>
      </c>
    </row>
    <row r="114" spans="1:9" x14ac:dyDescent="0.3">
      <c r="A114" s="4">
        <v>113</v>
      </c>
      <c r="B114" s="4" t="s">
        <v>130</v>
      </c>
      <c r="C114" s="4" t="s">
        <v>123</v>
      </c>
      <c r="D114" s="4" t="s">
        <v>114</v>
      </c>
      <c r="E114" s="4" t="s">
        <v>8</v>
      </c>
      <c r="F114" s="4" t="str">
        <f>VLOOKUP(B114,tn_2021_result!$A:$D,4,FALSE)</f>
        <v>AIADMK</v>
      </c>
      <c r="G114" s="4" t="str">
        <f t="shared" si="2"/>
        <v>AIADMK</v>
      </c>
      <c r="H114" s="4" t="str">
        <f>VLOOKUP(B114,tn_2026_result!$A:$D,4,FALSE)</f>
        <v>TVK</v>
      </c>
      <c r="I114" s="4" t="str">
        <f t="shared" si="3"/>
        <v>TVK</v>
      </c>
    </row>
    <row r="115" spans="1:9" x14ac:dyDescent="0.3">
      <c r="A115" s="4">
        <v>114</v>
      </c>
      <c r="B115" s="4" t="s">
        <v>131</v>
      </c>
      <c r="C115" s="4" t="s">
        <v>132</v>
      </c>
      <c r="D115" s="4" t="s">
        <v>114</v>
      </c>
      <c r="E115" s="4" t="s">
        <v>8</v>
      </c>
      <c r="F115" s="4" t="str">
        <f>VLOOKUP(B115,tn_2021_result!$A:$D,4,FALSE)</f>
        <v>DMK</v>
      </c>
      <c r="G115" s="4" t="str">
        <f t="shared" si="2"/>
        <v>DMK</v>
      </c>
      <c r="H115" s="4" t="str">
        <f>VLOOKUP(B115,tn_2026_result!$A:$D,4,FALSE)</f>
        <v>TVK</v>
      </c>
      <c r="I115" s="4" t="str">
        <f t="shared" si="3"/>
        <v>TVK</v>
      </c>
    </row>
    <row r="116" spans="1:9" x14ac:dyDescent="0.3">
      <c r="A116" s="4">
        <v>115</v>
      </c>
      <c r="B116" s="4" t="s">
        <v>133</v>
      </c>
      <c r="C116" s="4" t="s">
        <v>132</v>
      </c>
      <c r="D116" s="4" t="s">
        <v>114</v>
      </c>
      <c r="E116" s="4" t="s">
        <v>8</v>
      </c>
      <c r="F116" s="4" t="str">
        <f>VLOOKUP(B116,tn_2021_result!$A:$D,4,FALSE)</f>
        <v>AIADMK</v>
      </c>
      <c r="G116" s="4" t="str">
        <f t="shared" si="2"/>
        <v>AIADMK</v>
      </c>
      <c r="H116" s="4" t="str">
        <f>VLOOKUP(B116,tn_2026_result!$A:$D,4,FALSE)</f>
        <v>TVK</v>
      </c>
      <c r="I116" s="4" t="str">
        <f t="shared" si="3"/>
        <v>TVK</v>
      </c>
    </row>
    <row r="117" spans="1:9" x14ac:dyDescent="0.3">
      <c r="A117" s="4">
        <v>116</v>
      </c>
      <c r="B117" s="4" t="s">
        <v>134</v>
      </c>
      <c r="C117" s="4" t="s">
        <v>132</v>
      </c>
      <c r="D117" s="4" t="s">
        <v>114</v>
      </c>
      <c r="E117" s="4" t="s">
        <v>8</v>
      </c>
      <c r="F117" s="4" t="str">
        <f>VLOOKUP(B117,tn_2021_result!$A:$D,4,FALSE)</f>
        <v>AIADMK</v>
      </c>
      <c r="G117" s="4" t="str">
        <f t="shared" si="2"/>
        <v>AIADMK</v>
      </c>
      <c r="H117" s="4" t="str">
        <f>VLOOKUP(B117,tn_2026_result!$A:$D,4,FALSE)</f>
        <v>TVK</v>
      </c>
      <c r="I117" s="4" t="str">
        <f t="shared" si="3"/>
        <v>TVK</v>
      </c>
    </row>
    <row r="118" spans="1:9" x14ac:dyDescent="0.3">
      <c r="A118" s="4">
        <v>117</v>
      </c>
      <c r="B118" s="4" t="s">
        <v>135</v>
      </c>
      <c r="C118" s="4" t="s">
        <v>136</v>
      </c>
      <c r="D118" s="4" t="s">
        <v>114</v>
      </c>
      <c r="E118" s="4" t="s">
        <v>8</v>
      </c>
      <c r="F118" s="4" t="str">
        <f>VLOOKUP(B118,tn_2021_result!$A:$D,4,FALSE)</f>
        <v>AIADMK</v>
      </c>
      <c r="G118" s="4" t="str">
        <f t="shared" si="2"/>
        <v>AIADMK</v>
      </c>
      <c r="H118" s="4" t="str">
        <f>VLOOKUP(B118,tn_2026_result!$A:$D,4,FALSE)</f>
        <v>TVK</v>
      </c>
      <c r="I118" s="4" t="str">
        <f t="shared" si="3"/>
        <v>TVK</v>
      </c>
    </row>
    <row r="119" spans="1:9" x14ac:dyDescent="0.3">
      <c r="A119" s="4">
        <v>118</v>
      </c>
      <c r="B119" s="4" t="s">
        <v>137</v>
      </c>
      <c r="C119" s="4" t="s">
        <v>136</v>
      </c>
      <c r="D119" s="4" t="s">
        <v>114</v>
      </c>
      <c r="E119" s="4" t="s">
        <v>8</v>
      </c>
      <c r="F119" s="4" t="str">
        <f>VLOOKUP(B119,tn_2021_result!$A:$D,4,FALSE)</f>
        <v>AIADMK</v>
      </c>
      <c r="G119" s="4" t="str">
        <f t="shared" si="2"/>
        <v>AIADMK</v>
      </c>
      <c r="H119" s="4" t="str">
        <f>VLOOKUP(B119,tn_2026_result!$A:$D,4,FALSE)</f>
        <v>TVK</v>
      </c>
      <c r="I119" s="4" t="str">
        <f t="shared" si="3"/>
        <v>TVK</v>
      </c>
    </row>
    <row r="120" spans="1:9" x14ac:dyDescent="0.3">
      <c r="A120" s="4">
        <v>119</v>
      </c>
      <c r="B120" s="4" t="s">
        <v>138</v>
      </c>
      <c r="C120" s="4" t="s">
        <v>136</v>
      </c>
      <c r="D120" s="4" t="s">
        <v>114</v>
      </c>
      <c r="E120" s="4" t="s">
        <v>8</v>
      </c>
      <c r="F120" s="4" t="str">
        <f>VLOOKUP(B120,tn_2021_result!$A:$D,4,FALSE)</f>
        <v>AIADMK</v>
      </c>
      <c r="G120" s="4" t="str">
        <f t="shared" si="2"/>
        <v>AIADMK</v>
      </c>
      <c r="H120" s="4" t="str">
        <f>VLOOKUP(B120,tn_2026_result!$A:$D,4,FALSE)</f>
        <v>AIADMK</v>
      </c>
      <c r="I120" s="4" t="str">
        <f t="shared" si="3"/>
        <v>AIADMK</v>
      </c>
    </row>
    <row r="121" spans="1:9" x14ac:dyDescent="0.3">
      <c r="A121" s="4">
        <v>120</v>
      </c>
      <c r="B121" s="4" t="s">
        <v>139</v>
      </c>
      <c r="C121" s="4" t="s">
        <v>136</v>
      </c>
      <c r="D121" s="4" t="s">
        <v>114</v>
      </c>
      <c r="E121" s="4" t="s">
        <v>8</v>
      </c>
      <c r="F121" s="4" t="str">
        <f>VLOOKUP(B121,tn_2021_result!$A:$D,4,FALSE)</f>
        <v>BJP</v>
      </c>
      <c r="G121" s="4" t="str">
        <f t="shared" si="2"/>
        <v>Others</v>
      </c>
      <c r="H121" s="4" t="str">
        <f>VLOOKUP(B121,tn_2026_result!$A:$D,4,FALSE)</f>
        <v>DMK</v>
      </c>
      <c r="I121" s="4" t="str">
        <f t="shared" si="3"/>
        <v>DMK</v>
      </c>
    </row>
    <row r="122" spans="1:9" x14ac:dyDescent="0.3">
      <c r="A122" s="4">
        <v>121</v>
      </c>
      <c r="B122" s="4" t="s">
        <v>140</v>
      </c>
      <c r="C122" s="4" t="s">
        <v>136</v>
      </c>
      <c r="D122" s="4" t="s">
        <v>114</v>
      </c>
      <c r="E122" s="4" t="s">
        <v>8</v>
      </c>
      <c r="F122" s="4" t="str">
        <f>VLOOKUP(B122,tn_2021_result!$A:$D,4,FALSE)</f>
        <v>AIADMK</v>
      </c>
      <c r="G122" s="4" t="str">
        <f t="shared" si="2"/>
        <v>AIADMK</v>
      </c>
      <c r="H122" s="4" t="str">
        <f>VLOOKUP(B122,tn_2026_result!$A:$D,4,FALSE)</f>
        <v>TVK</v>
      </c>
      <c r="I122" s="4" t="str">
        <f t="shared" si="3"/>
        <v>TVK</v>
      </c>
    </row>
    <row r="123" spans="1:9" x14ac:dyDescent="0.3">
      <c r="A123" s="4">
        <v>122</v>
      </c>
      <c r="B123" s="4" t="s">
        <v>141</v>
      </c>
      <c r="C123" s="4" t="s">
        <v>136</v>
      </c>
      <c r="D123" s="4" t="s">
        <v>114</v>
      </c>
      <c r="E123" s="4" t="s">
        <v>8</v>
      </c>
      <c r="F123" s="4" t="str">
        <f>VLOOKUP(B123,tn_2021_result!$A:$D,4,FALSE)</f>
        <v>AIADMK</v>
      </c>
      <c r="G123" s="4" t="str">
        <f t="shared" si="2"/>
        <v>AIADMK</v>
      </c>
      <c r="H123" s="4" t="str">
        <f>VLOOKUP(B123,tn_2026_result!$A:$D,4,FALSE)</f>
        <v>TVK</v>
      </c>
      <c r="I123" s="4" t="str">
        <f t="shared" si="3"/>
        <v>TVK</v>
      </c>
    </row>
    <row r="124" spans="1:9" x14ac:dyDescent="0.3">
      <c r="A124" s="4">
        <v>123</v>
      </c>
      <c r="B124" s="4" t="s">
        <v>142</v>
      </c>
      <c r="C124" s="4" t="s">
        <v>136</v>
      </c>
      <c r="D124" s="4" t="s">
        <v>114</v>
      </c>
      <c r="E124" s="4" t="s">
        <v>8</v>
      </c>
      <c r="F124" s="4" t="str">
        <f>VLOOKUP(B124,tn_2021_result!$A:$D,4,FALSE)</f>
        <v>AIADMK</v>
      </c>
      <c r="G124" s="4" t="str">
        <f t="shared" si="2"/>
        <v>AIADMK</v>
      </c>
      <c r="H124" s="4" t="str">
        <f>VLOOKUP(B124,tn_2026_result!$A:$D,4,FALSE)</f>
        <v>DMK</v>
      </c>
      <c r="I124" s="4" t="str">
        <f t="shared" si="3"/>
        <v>DMK</v>
      </c>
    </row>
    <row r="125" spans="1:9" x14ac:dyDescent="0.3">
      <c r="A125" s="4">
        <v>124</v>
      </c>
      <c r="B125" s="4" t="s">
        <v>143</v>
      </c>
      <c r="C125" s="4" t="s">
        <v>136</v>
      </c>
      <c r="D125" s="4" t="s">
        <v>114</v>
      </c>
      <c r="E125" s="4" t="s">
        <v>10</v>
      </c>
      <c r="F125" s="4" t="str">
        <f>VLOOKUP(B125,tn_2021_result!$A:$D,4,FALSE)</f>
        <v>AIADMK</v>
      </c>
      <c r="G125" s="4" t="str">
        <f t="shared" si="2"/>
        <v>AIADMK</v>
      </c>
      <c r="H125" s="4" t="str">
        <f>VLOOKUP(B125,tn_2026_result!$A:$D,4,FALSE)</f>
        <v>DMK</v>
      </c>
      <c r="I125" s="4" t="str">
        <f t="shared" si="3"/>
        <v>DMK</v>
      </c>
    </row>
    <row r="126" spans="1:9" x14ac:dyDescent="0.3">
      <c r="A126" s="4">
        <v>125</v>
      </c>
      <c r="B126" s="4" t="s">
        <v>144</v>
      </c>
      <c r="C126" s="4" t="s">
        <v>136</v>
      </c>
      <c r="D126" s="4" t="s">
        <v>114</v>
      </c>
      <c r="E126" s="4" t="s">
        <v>8</v>
      </c>
      <c r="F126" s="4" t="str">
        <f>VLOOKUP(B126,tn_2021_result!$A:$D,4,FALSE)</f>
        <v>AIADMK</v>
      </c>
      <c r="G126" s="4" t="str">
        <f t="shared" si="2"/>
        <v>AIADMK</v>
      </c>
      <c r="H126" s="4" t="str">
        <f>VLOOKUP(B126,tn_2026_result!$A:$D,4,FALSE)</f>
        <v>DMK</v>
      </c>
      <c r="I126" s="4" t="str">
        <f t="shared" si="3"/>
        <v>DMK</v>
      </c>
    </row>
    <row r="127" spans="1:9" x14ac:dyDescent="0.3">
      <c r="A127" s="4">
        <v>126</v>
      </c>
      <c r="B127" s="4" t="s">
        <v>145</v>
      </c>
      <c r="C127" s="4" t="s">
        <v>136</v>
      </c>
      <c r="D127" s="4" t="s">
        <v>114</v>
      </c>
      <c r="E127" s="4" t="s">
        <v>8</v>
      </c>
      <c r="F127" s="4" t="str">
        <f>VLOOKUP(B127,tn_2021_result!$A:$D,4,FALSE)</f>
        <v>AIADMK</v>
      </c>
      <c r="G127" s="4" t="str">
        <f t="shared" si="2"/>
        <v>AIADMK</v>
      </c>
      <c r="H127" s="4" t="str">
        <f>VLOOKUP(B127,tn_2026_result!$A:$D,4,FALSE)</f>
        <v>DMK</v>
      </c>
      <c r="I127" s="4" t="str">
        <f t="shared" si="3"/>
        <v>DMK</v>
      </c>
    </row>
    <row r="128" spans="1:9" x14ac:dyDescent="0.3">
      <c r="A128" s="4">
        <v>127</v>
      </c>
      <c r="B128" s="4" t="s">
        <v>146</v>
      </c>
      <c r="C128" s="4" t="s">
        <v>147</v>
      </c>
      <c r="D128" s="4" t="s">
        <v>148</v>
      </c>
      <c r="E128" s="4" t="s">
        <v>8</v>
      </c>
      <c r="F128" s="4" t="str">
        <f>VLOOKUP(B128,tn_2021_result!$A:$D,4,FALSE)</f>
        <v>DMK</v>
      </c>
      <c r="G128" s="4" t="str">
        <f t="shared" si="2"/>
        <v>DMK</v>
      </c>
      <c r="H128" s="4" t="str">
        <f>VLOOKUP(B128,tn_2026_result!$A:$D,4,FALSE)</f>
        <v>AIADMK</v>
      </c>
      <c r="I128" s="4" t="str">
        <f t="shared" si="3"/>
        <v>AIADMK</v>
      </c>
    </row>
    <row r="129" spans="1:9" x14ac:dyDescent="0.3">
      <c r="A129" s="4">
        <v>128</v>
      </c>
      <c r="B129" s="4" t="s">
        <v>149</v>
      </c>
      <c r="C129" s="4" t="s">
        <v>147</v>
      </c>
      <c r="D129" s="4" t="s">
        <v>148</v>
      </c>
      <c r="E129" s="4" t="s">
        <v>8</v>
      </c>
      <c r="F129" s="4" t="str">
        <f>VLOOKUP(B129,tn_2021_result!$A:$D,4,FALSE)</f>
        <v>DMK</v>
      </c>
      <c r="G129" s="4" t="str">
        <f t="shared" si="2"/>
        <v>DMK</v>
      </c>
      <c r="H129" s="4" t="str">
        <f>VLOOKUP(B129,tn_2026_result!$A:$D,4,FALSE)</f>
        <v>DMK</v>
      </c>
      <c r="I129" s="4" t="str">
        <f t="shared" si="3"/>
        <v>DMK</v>
      </c>
    </row>
    <row r="130" spans="1:9" x14ac:dyDescent="0.3">
      <c r="A130" s="4">
        <v>129</v>
      </c>
      <c r="B130" s="4" t="s">
        <v>150</v>
      </c>
      <c r="C130" s="4" t="s">
        <v>147</v>
      </c>
      <c r="D130" s="4" t="s">
        <v>148</v>
      </c>
      <c r="E130" s="4" t="s">
        <v>8</v>
      </c>
      <c r="F130" s="4" t="str">
        <f>VLOOKUP(B130,tn_2021_result!$A:$D,4,FALSE)</f>
        <v>DMK</v>
      </c>
      <c r="G130" s="4" t="str">
        <f t="shared" si="2"/>
        <v>DMK</v>
      </c>
      <c r="H130" s="4" t="str">
        <f>VLOOKUP(B130,tn_2026_result!$A:$D,4,FALSE)</f>
        <v>DMK</v>
      </c>
      <c r="I130" s="4" t="str">
        <f t="shared" si="3"/>
        <v>DMK</v>
      </c>
    </row>
    <row r="131" spans="1:9" x14ac:dyDescent="0.3">
      <c r="A131" s="4">
        <v>130</v>
      </c>
      <c r="B131" s="4" t="s">
        <v>151</v>
      </c>
      <c r="C131" s="4" t="s">
        <v>147</v>
      </c>
      <c r="D131" s="4" t="s">
        <v>148</v>
      </c>
      <c r="E131" s="4" t="s">
        <v>10</v>
      </c>
      <c r="F131" s="4" t="str">
        <f>VLOOKUP(B131,tn_2021_result!$A:$D,4,FALSE)</f>
        <v>AIADMK</v>
      </c>
      <c r="G131" s="4" t="str">
        <f t="shared" ref="G131:G194" si="4">IF(OR(F131="DMK",F131="AIADMK",F131="INC",F131="PMK",F131="TVK"),F131,"Others")</f>
        <v>AIADMK</v>
      </c>
      <c r="H131" s="4" t="str">
        <f>VLOOKUP(B131,tn_2026_result!$A:$D,4,FALSE)</f>
        <v>TVK</v>
      </c>
      <c r="I131" s="4" t="str">
        <f t="shared" ref="I131:I194" si="5">IF(OR(H131="DMK",H131="AIADMK",H131="INC",H131="PMK",H131="TVK"),H131,"Others")</f>
        <v>TVK</v>
      </c>
    </row>
    <row r="132" spans="1:9" x14ac:dyDescent="0.3">
      <c r="A132" s="4">
        <v>131</v>
      </c>
      <c r="B132" s="4" t="s">
        <v>152</v>
      </c>
      <c r="C132" s="4" t="s">
        <v>147</v>
      </c>
      <c r="D132" s="4" t="s">
        <v>148</v>
      </c>
      <c r="E132" s="4" t="s">
        <v>8</v>
      </c>
      <c r="F132" s="4" t="str">
        <f>VLOOKUP(B132,tn_2021_result!$A:$D,4,FALSE)</f>
        <v>AIADMK</v>
      </c>
      <c r="G132" s="4" t="str">
        <f t="shared" si="4"/>
        <v>AIADMK</v>
      </c>
      <c r="H132" s="4" t="str">
        <f>VLOOKUP(B132,tn_2026_result!$A:$D,4,FALSE)</f>
        <v>AIADMK</v>
      </c>
      <c r="I132" s="4" t="str">
        <f t="shared" si="5"/>
        <v>AIADMK</v>
      </c>
    </row>
    <row r="133" spans="1:9" x14ac:dyDescent="0.3">
      <c r="A133" s="4">
        <v>132</v>
      </c>
      <c r="B133" s="4" t="s">
        <v>147</v>
      </c>
      <c r="C133" s="4" t="s">
        <v>147</v>
      </c>
      <c r="D133" s="4" t="s">
        <v>148</v>
      </c>
      <c r="E133" s="4" t="s">
        <v>8</v>
      </c>
      <c r="F133" s="4" t="str">
        <f>VLOOKUP(B133,tn_2021_result!$A:$D,4,FALSE)</f>
        <v>AIADMK</v>
      </c>
      <c r="G133" s="4" t="str">
        <f t="shared" si="4"/>
        <v>AIADMK</v>
      </c>
      <c r="H133" s="4" t="str">
        <f>VLOOKUP(B133,tn_2026_result!$A:$D,4,FALSE)</f>
        <v>DMK</v>
      </c>
      <c r="I133" s="4" t="str">
        <f t="shared" si="5"/>
        <v>DMK</v>
      </c>
    </row>
    <row r="134" spans="1:9" x14ac:dyDescent="0.3">
      <c r="A134" s="4">
        <v>133</v>
      </c>
      <c r="B134" s="4" t="s">
        <v>153</v>
      </c>
      <c r="C134" s="4" t="s">
        <v>147</v>
      </c>
      <c r="D134" s="4" t="s">
        <v>148</v>
      </c>
      <c r="E134" s="4" t="s">
        <v>8</v>
      </c>
      <c r="F134" s="4" t="str">
        <f>VLOOKUP(B134,tn_2021_result!$A:$D,4,FALSE)</f>
        <v>DMK</v>
      </c>
      <c r="G134" s="4" t="str">
        <f t="shared" si="4"/>
        <v>DMK</v>
      </c>
      <c r="H134" s="4" t="str">
        <f>VLOOKUP(B134,tn_2026_result!$A:$D,4,FALSE)</f>
        <v>DMK</v>
      </c>
      <c r="I134" s="4" t="str">
        <f t="shared" si="5"/>
        <v>DMK</v>
      </c>
    </row>
    <row r="135" spans="1:9" x14ac:dyDescent="0.3">
      <c r="A135" s="4">
        <v>134</v>
      </c>
      <c r="B135" s="4" t="s">
        <v>154</v>
      </c>
      <c r="C135" s="4" t="s">
        <v>155</v>
      </c>
      <c r="D135" s="4" t="s">
        <v>114</v>
      </c>
      <c r="E135" s="4" t="s">
        <v>8</v>
      </c>
      <c r="F135" s="4" t="str">
        <f>VLOOKUP(B135,tn_2021_result!$A:$D,4,FALSE)</f>
        <v>DMK</v>
      </c>
      <c r="G135" s="4" t="str">
        <f t="shared" si="4"/>
        <v>DMK</v>
      </c>
      <c r="H135" s="4" t="str">
        <f>VLOOKUP(B135,tn_2026_result!$A:$D,4,FALSE)</f>
        <v>DMK</v>
      </c>
      <c r="I135" s="4" t="str">
        <f t="shared" si="5"/>
        <v>DMK</v>
      </c>
    </row>
    <row r="136" spans="1:9" x14ac:dyDescent="0.3">
      <c r="A136" s="4">
        <v>135</v>
      </c>
      <c r="B136" s="4" t="s">
        <v>155</v>
      </c>
      <c r="C136" s="4" t="s">
        <v>155</v>
      </c>
      <c r="D136" s="4" t="s">
        <v>114</v>
      </c>
      <c r="E136" s="4" t="s">
        <v>8</v>
      </c>
      <c r="F136" s="4" t="str">
        <f>VLOOKUP(B136,tn_2021_result!$A:$D,4,FALSE)</f>
        <v>DMK</v>
      </c>
      <c r="G136" s="4" t="str">
        <f t="shared" si="4"/>
        <v>DMK</v>
      </c>
      <c r="H136" s="4" t="str">
        <f>VLOOKUP(B136,tn_2026_result!$A:$D,4,FALSE)</f>
        <v>AIADMK</v>
      </c>
      <c r="I136" s="4" t="str">
        <f t="shared" si="5"/>
        <v>AIADMK</v>
      </c>
    </row>
    <row r="137" spans="1:9" x14ac:dyDescent="0.3">
      <c r="A137" s="4">
        <v>136</v>
      </c>
      <c r="B137" s="4" t="s">
        <v>156</v>
      </c>
      <c r="C137" s="4" t="s">
        <v>155</v>
      </c>
      <c r="D137" s="4" t="s">
        <v>114</v>
      </c>
      <c r="E137" s="4" t="s">
        <v>10</v>
      </c>
      <c r="F137" s="4" t="str">
        <f>VLOOKUP(B137,tn_2021_result!$A:$D,4,FALSE)</f>
        <v>DMK</v>
      </c>
      <c r="G137" s="4" t="str">
        <f t="shared" si="4"/>
        <v>DMK</v>
      </c>
      <c r="H137" s="4" t="str">
        <f>VLOOKUP(B137,tn_2026_result!$A:$D,4,FALSE)</f>
        <v>TVK</v>
      </c>
      <c r="I137" s="4" t="str">
        <f t="shared" si="5"/>
        <v>TVK</v>
      </c>
    </row>
    <row r="138" spans="1:9" x14ac:dyDescent="0.3">
      <c r="A138" s="4">
        <v>137</v>
      </c>
      <c r="B138" s="4" t="s">
        <v>157</v>
      </c>
      <c r="C138" s="4" t="s">
        <v>155</v>
      </c>
      <c r="D138" s="4" t="s">
        <v>114</v>
      </c>
      <c r="E138" s="4" t="s">
        <v>8</v>
      </c>
      <c r="F138" s="4" t="str">
        <f>VLOOKUP(B138,tn_2021_result!$A:$D,4,FALSE)</f>
        <v>DMK</v>
      </c>
      <c r="G138" s="4" t="str">
        <f t="shared" si="4"/>
        <v>DMK</v>
      </c>
      <c r="H138" s="4" t="str">
        <f>VLOOKUP(B138,tn_2026_result!$A:$D,4,FALSE)</f>
        <v>DMK</v>
      </c>
      <c r="I138" s="4" t="str">
        <f t="shared" si="5"/>
        <v>DMK</v>
      </c>
    </row>
    <row r="139" spans="1:9" x14ac:dyDescent="0.3">
      <c r="A139" s="4">
        <v>138</v>
      </c>
      <c r="B139" s="4" t="s">
        <v>158</v>
      </c>
      <c r="C139" s="4" t="s">
        <v>159</v>
      </c>
      <c r="D139" s="4" t="s">
        <v>160</v>
      </c>
      <c r="E139" s="4" t="s">
        <v>8</v>
      </c>
      <c r="F139" s="4" t="str">
        <f>VLOOKUP(B139,tn_2021_result!$A:$D,4,FALSE)</f>
        <v>DMK</v>
      </c>
      <c r="G139" s="4" t="str">
        <f t="shared" si="4"/>
        <v>DMK</v>
      </c>
      <c r="H139" s="4" t="str">
        <f>VLOOKUP(B139,tn_2026_result!$A:$D,4,FALSE)</f>
        <v>TVK</v>
      </c>
      <c r="I139" s="4" t="str">
        <f t="shared" si="5"/>
        <v>TVK</v>
      </c>
    </row>
    <row r="140" spans="1:9" x14ac:dyDescent="0.3">
      <c r="A140" s="4">
        <v>139</v>
      </c>
      <c r="B140" s="4" t="s">
        <v>161</v>
      </c>
      <c r="C140" s="4" t="s">
        <v>159</v>
      </c>
      <c r="D140" s="4" t="s">
        <v>160</v>
      </c>
      <c r="E140" s="4" t="s">
        <v>8</v>
      </c>
      <c r="F140" s="4" t="str">
        <f>VLOOKUP(B140,tn_2021_result!$A:$D,4,FALSE)</f>
        <v>DMK</v>
      </c>
      <c r="G140" s="4" t="str">
        <f t="shared" si="4"/>
        <v>DMK</v>
      </c>
      <c r="H140" s="4" t="str">
        <f>VLOOKUP(B140,tn_2026_result!$A:$D,4,FALSE)</f>
        <v>TVK</v>
      </c>
      <c r="I140" s="4" t="str">
        <f t="shared" si="5"/>
        <v>TVK</v>
      </c>
    </row>
    <row r="141" spans="1:9" x14ac:dyDescent="0.3">
      <c r="A141" s="4">
        <v>140</v>
      </c>
      <c r="B141" s="4" t="s">
        <v>162</v>
      </c>
      <c r="C141" s="4" t="s">
        <v>159</v>
      </c>
      <c r="D141" s="4" t="s">
        <v>160</v>
      </c>
      <c r="E141" s="4" t="s">
        <v>8</v>
      </c>
      <c r="F141" s="4" t="str">
        <f>VLOOKUP(B141,tn_2021_result!$A:$D,4,FALSE)</f>
        <v>DMK</v>
      </c>
      <c r="G141" s="4" t="str">
        <f t="shared" si="4"/>
        <v>DMK</v>
      </c>
      <c r="H141" s="4" t="str">
        <f>VLOOKUP(B141,tn_2026_result!$A:$D,4,FALSE)</f>
        <v>DMK</v>
      </c>
      <c r="I141" s="4" t="str">
        <f t="shared" si="5"/>
        <v>DMK</v>
      </c>
    </row>
    <row r="142" spans="1:9" x14ac:dyDescent="0.3">
      <c r="A142" s="4">
        <v>141</v>
      </c>
      <c r="B142" s="4" t="s">
        <v>163</v>
      </c>
      <c r="C142" s="4" t="s">
        <v>159</v>
      </c>
      <c r="D142" s="4" t="s">
        <v>160</v>
      </c>
      <c r="E142" s="4" t="s">
        <v>8</v>
      </c>
      <c r="F142" s="4" t="str">
        <f>VLOOKUP(B142,tn_2021_result!$A:$D,4,FALSE)</f>
        <v>DMK</v>
      </c>
      <c r="G142" s="4" t="str">
        <f t="shared" si="4"/>
        <v>DMK</v>
      </c>
      <c r="H142" s="4" t="str">
        <f>VLOOKUP(B142,tn_2026_result!$A:$D,4,FALSE)</f>
        <v>TVK</v>
      </c>
      <c r="I142" s="4" t="str">
        <f t="shared" si="5"/>
        <v>TVK</v>
      </c>
    </row>
    <row r="143" spans="1:9" x14ac:dyDescent="0.3">
      <c r="A143" s="4">
        <v>142</v>
      </c>
      <c r="B143" s="4" t="s">
        <v>164</v>
      </c>
      <c r="C143" s="4" t="s">
        <v>159</v>
      </c>
      <c r="D143" s="4" t="s">
        <v>160</v>
      </c>
      <c r="E143" s="4" t="s">
        <v>8</v>
      </c>
      <c r="F143" s="4" t="str">
        <f>VLOOKUP(B143,tn_2021_result!$A:$D,4,FALSE)</f>
        <v>DMK</v>
      </c>
      <c r="G143" s="4" t="str">
        <f t="shared" si="4"/>
        <v>DMK</v>
      </c>
      <c r="H143" s="4" t="str">
        <f>VLOOKUP(B143,tn_2026_result!$A:$D,4,FALSE)</f>
        <v>TVK</v>
      </c>
      <c r="I143" s="4" t="str">
        <f t="shared" si="5"/>
        <v>TVK</v>
      </c>
    </row>
    <row r="144" spans="1:9" x14ac:dyDescent="0.3">
      <c r="A144" s="4">
        <v>143</v>
      </c>
      <c r="B144" s="4" t="s">
        <v>165</v>
      </c>
      <c r="C144" s="4" t="s">
        <v>159</v>
      </c>
      <c r="D144" s="4" t="s">
        <v>160</v>
      </c>
      <c r="E144" s="4" t="s">
        <v>8</v>
      </c>
      <c r="F144" s="4" t="str">
        <f>VLOOKUP(B144,tn_2021_result!$A:$D,4,FALSE)</f>
        <v>DMK</v>
      </c>
      <c r="G144" s="4" t="str">
        <f t="shared" si="4"/>
        <v>DMK</v>
      </c>
      <c r="H144" s="4" t="str">
        <f>VLOOKUP(B144,tn_2026_result!$A:$D,4,FALSE)</f>
        <v>AIADMK</v>
      </c>
      <c r="I144" s="4" t="str">
        <f t="shared" si="5"/>
        <v>AIADMK</v>
      </c>
    </row>
    <row r="145" spans="1:9" x14ac:dyDescent="0.3">
      <c r="A145" s="4">
        <v>144</v>
      </c>
      <c r="B145" s="4" t="s">
        <v>166</v>
      </c>
      <c r="C145" s="4" t="s">
        <v>159</v>
      </c>
      <c r="D145" s="4" t="s">
        <v>160</v>
      </c>
      <c r="E145" s="4" t="s">
        <v>8</v>
      </c>
      <c r="F145" s="4" t="str">
        <f>VLOOKUP(B145,tn_2021_result!$A:$D,4,FALSE)</f>
        <v>DMK</v>
      </c>
      <c r="G145" s="4" t="str">
        <f t="shared" si="4"/>
        <v>DMK</v>
      </c>
      <c r="H145" s="4" t="str">
        <f>VLOOKUP(B145,tn_2026_result!$A:$D,4,FALSE)</f>
        <v>DMK</v>
      </c>
      <c r="I145" s="4" t="str">
        <f t="shared" si="5"/>
        <v>DMK</v>
      </c>
    </row>
    <row r="146" spans="1:9" x14ac:dyDescent="0.3">
      <c r="A146" s="4">
        <v>145</v>
      </c>
      <c r="B146" s="4" t="s">
        <v>167</v>
      </c>
      <c r="C146" s="4" t="s">
        <v>159</v>
      </c>
      <c r="D146" s="4" t="s">
        <v>160</v>
      </c>
      <c r="E146" s="4" t="s">
        <v>8</v>
      </c>
      <c r="F146" s="4" t="str">
        <f>VLOOKUP(B146,tn_2021_result!$A:$D,4,FALSE)</f>
        <v>DMK</v>
      </c>
      <c r="G146" s="4" t="str">
        <f t="shared" si="4"/>
        <v>DMK</v>
      </c>
      <c r="H146" s="4" t="str">
        <f>VLOOKUP(B146,tn_2026_result!$A:$D,4,FALSE)</f>
        <v>TVK</v>
      </c>
      <c r="I146" s="4" t="str">
        <f t="shared" si="5"/>
        <v>TVK</v>
      </c>
    </row>
    <row r="147" spans="1:9" x14ac:dyDescent="0.3">
      <c r="A147" s="4">
        <v>146</v>
      </c>
      <c r="B147" s="4" t="s">
        <v>168</v>
      </c>
      <c r="C147" s="4" t="s">
        <v>159</v>
      </c>
      <c r="D147" s="4" t="s">
        <v>160</v>
      </c>
      <c r="E147" s="4" t="s">
        <v>10</v>
      </c>
      <c r="F147" s="4" t="str">
        <f>VLOOKUP(B147,tn_2021_result!$A:$D,4,FALSE)</f>
        <v>DMK</v>
      </c>
      <c r="G147" s="4" t="str">
        <f t="shared" si="4"/>
        <v>DMK</v>
      </c>
      <c r="H147" s="4" t="str">
        <f>VLOOKUP(B147,tn_2026_result!$A:$D,4,FALSE)</f>
        <v>TVK</v>
      </c>
      <c r="I147" s="4" t="str">
        <f t="shared" si="5"/>
        <v>TVK</v>
      </c>
    </row>
    <row r="148" spans="1:9" x14ac:dyDescent="0.3">
      <c r="A148" s="4">
        <v>147</v>
      </c>
      <c r="B148" s="4" t="s">
        <v>169</v>
      </c>
      <c r="C148" s="4" t="s">
        <v>169</v>
      </c>
      <c r="D148" s="4" t="s">
        <v>83</v>
      </c>
      <c r="E148" s="4" t="s">
        <v>10</v>
      </c>
      <c r="F148" s="4" t="str">
        <f>VLOOKUP(B148,tn_2021_result!$A:$D,4,FALSE)</f>
        <v>DMK</v>
      </c>
      <c r="G148" s="4" t="str">
        <f t="shared" si="4"/>
        <v>DMK</v>
      </c>
      <c r="H148" s="4" t="str">
        <f>VLOOKUP(B148,tn_2026_result!$A:$D,4,FALSE)</f>
        <v>TVK</v>
      </c>
      <c r="I148" s="4" t="str">
        <f t="shared" si="5"/>
        <v>TVK</v>
      </c>
    </row>
    <row r="149" spans="1:9" x14ac:dyDescent="0.3">
      <c r="A149" s="4">
        <v>148</v>
      </c>
      <c r="B149" s="4" t="s">
        <v>170</v>
      </c>
      <c r="C149" s="4" t="s">
        <v>169</v>
      </c>
      <c r="D149" s="4" t="s">
        <v>83</v>
      </c>
      <c r="E149" s="4" t="s">
        <v>8</v>
      </c>
      <c r="F149" s="4" t="str">
        <f>VLOOKUP(B149,tn_2021_result!$A:$D,4,FALSE)</f>
        <v>DMK</v>
      </c>
      <c r="G149" s="4" t="str">
        <f t="shared" si="4"/>
        <v>DMK</v>
      </c>
      <c r="H149" s="4" t="str">
        <f>VLOOKUP(B149,tn_2026_result!$A:$D,4,FALSE)</f>
        <v>DMK</v>
      </c>
      <c r="I149" s="4" t="str">
        <f t="shared" si="5"/>
        <v>DMK</v>
      </c>
    </row>
    <row r="150" spans="1:9" x14ac:dyDescent="0.3">
      <c r="A150" s="4">
        <v>149</v>
      </c>
      <c r="B150" s="4" t="s">
        <v>171</v>
      </c>
      <c r="C150" s="4" t="s">
        <v>171</v>
      </c>
      <c r="D150" s="4" t="s">
        <v>83</v>
      </c>
      <c r="E150" s="4" t="s">
        <v>8</v>
      </c>
      <c r="F150" s="4" t="str">
        <f>VLOOKUP(B150,tn_2021_result!$A:$D,4,FALSE)</f>
        <v>DMK</v>
      </c>
      <c r="G150" s="4" t="str">
        <f t="shared" si="4"/>
        <v>DMK</v>
      </c>
      <c r="H150" s="4" t="str">
        <f>VLOOKUP(B150,tn_2026_result!$A:$D,4,FALSE)</f>
        <v>AIADMK</v>
      </c>
      <c r="I150" s="4" t="str">
        <f t="shared" si="5"/>
        <v>AIADMK</v>
      </c>
    </row>
    <row r="151" spans="1:9" x14ac:dyDescent="0.3">
      <c r="A151" s="4">
        <v>150</v>
      </c>
      <c r="B151" s="4" t="s">
        <v>172</v>
      </c>
      <c r="C151" s="4" t="s">
        <v>171</v>
      </c>
      <c r="D151" s="4" t="s">
        <v>83</v>
      </c>
      <c r="E151" s="4" t="s">
        <v>8</v>
      </c>
      <c r="F151" s="4" t="str">
        <f>VLOOKUP(B151,tn_2021_result!$A:$D,4,FALSE)</f>
        <v>DMK</v>
      </c>
      <c r="G151" s="4" t="str">
        <f t="shared" si="4"/>
        <v>DMK</v>
      </c>
      <c r="H151" s="4" t="str">
        <f>VLOOKUP(B151,tn_2026_result!$A:$D,4,FALSE)</f>
        <v>PMK</v>
      </c>
      <c r="I151" s="4" t="str">
        <f t="shared" si="5"/>
        <v>PMK</v>
      </c>
    </row>
    <row r="152" spans="1:9" x14ac:dyDescent="0.3">
      <c r="A152" s="4">
        <v>151</v>
      </c>
      <c r="B152" s="4" t="s">
        <v>173</v>
      </c>
      <c r="C152" s="4" t="s">
        <v>174</v>
      </c>
      <c r="D152" s="4" t="s">
        <v>83</v>
      </c>
      <c r="E152" s="4" t="s">
        <v>10</v>
      </c>
      <c r="F152" s="4" t="str">
        <f>VLOOKUP(B152,tn_2021_result!$A:$D,4,FALSE)</f>
        <v>DMK</v>
      </c>
      <c r="G152" s="4" t="str">
        <f t="shared" si="4"/>
        <v>DMK</v>
      </c>
      <c r="H152" s="4" t="str">
        <f>VLOOKUP(B152,tn_2026_result!$A:$D,4,FALSE)</f>
        <v>DMK</v>
      </c>
      <c r="I152" s="4" t="str">
        <f t="shared" si="5"/>
        <v>DMK</v>
      </c>
    </row>
    <row r="153" spans="1:9" x14ac:dyDescent="0.3">
      <c r="A153" s="4">
        <v>152</v>
      </c>
      <c r="B153" s="4" t="s">
        <v>175</v>
      </c>
      <c r="C153" s="4" t="s">
        <v>174</v>
      </c>
      <c r="D153" s="4" t="s">
        <v>83</v>
      </c>
      <c r="E153" s="4" t="s">
        <v>8</v>
      </c>
      <c r="F153" s="4" t="str">
        <f>VLOOKUP(B153,tn_2021_result!$A:$D,4,FALSE)</f>
        <v>INC</v>
      </c>
      <c r="G153" s="4" t="str">
        <f t="shared" si="4"/>
        <v>INC</v>
      </c>
      <c r="H153" s="4" t="str">
        <f>VLOOKUP(B153,tn_2026_result!$A:$D,4,FALSE)</f>
        <v>DMDK</v>
      </c>
      <c r="I153" s="4" t="str">
        <f t="shared" si="5"/>
        <v>Others</v>
      </c>
    </row>
    <row r="154" spans="1:9" x14ac:dyDescent="0.3">
      <c r="A154" s="4">
        <v>153</v>
      </c>
      <c r="B154" s="4" t="s">
        <v>176</v>
      </c>
      <c r="C154" s="4" t="s">
        <v>174</v>
      </c>
      <c r="D154" s="4" t="s">
        <v>83</v>
      </c>
      <c r="E154" s="4" t="s">
        <v>8</v>
      </c>
      <c r="F154" s="4" t="str">
        <f>VLOOKUP(B154,tn_2021_result!$A:$D,4,FALSE)</f>
        <v>DMK</v>
      </c>
      <c r="G154" s="4" t="str">
        <f t="shared" si="4"/>
        <v>DMK</v>
      </c>
      <c r="H154" s="4" t="str">
        <f>VLOOKUP(B154,tn_2026_result!$A:$D,4,FALSE)</f>
        <v>AIADMK</v>
      </c>
      <c r="I154" s="4" t="str">
        <f t="shared" si="5"/>
        <v>AIADMK</v>
      </c>
    </row>
    <row r="155" spans="1:9" x14ac:dyDescent="0.3">
      <c r="A155" s="4">
        <v>154</v>
      </c>
      <c r="B155" s="4" t="s">
        <v>177</v>
      </c>
      <c r="C155" s="4" t="s">
        <v>174</v>
      </c>
      <c r="D155" s="4" t="s">
        <v>83</v>
      </c>
      <c r="E155" s="4" t="s">
        <v>8</v>
      </c>
      <c r="F155" s="4" t="str">
        <f>VLOOKUP(B155,tn_2021_result!$A:$D,4,FALSE)</f>
        <v>DMK</v>
      </c>
      <c r="G155" s="4" t="str">
        <f t="shared" si="4"/>
        <v>DMK</v>
      </c>
      <c r="H155" s="4" t="str">
        <f>VLOOKUP(B155,tn_2026_result!$A:$D,4,FALSE)</f>
        <v>AIADMK</v>
      </c>
      <c r="I155" s="4" t="str">
        <f t="shared" si="5"/>
        <v>AIADMK</v>
      </c>
    </row>
    <row r="156" spans="1:9" x14ac:dyDescent="0.3">
      <c r="A156" s="4">
        <v>155</v>
      </c>
      <c r="B156" s="4" t="s">
        <v>174</v>
      </c>
      <c r="C156" s="4" t="s">
        <v>174</v>
      </c>
      <c r="D156" s="4" t="s">
        <v>83</v>
      </c>
      <c r="E156" s="4" t="s">
        <v>8</v>
      </c>
      <c r="F156" s="4" t="str">
        <f>VLOOKUP(B156,tn_2021_result!$A:$D,4,FALSE)</f>
        <v>DMK</v>
      </c>
      <c r="G156" s="4" t="str">
        <f t="shared" si="4"/>
        <v>DMK</v>
      </c>
      <c r="H156" s="4" t="str">
        <f>VLOOKUP(B156,tn_2026_result!$A:$D,4,FALSE)</f>
        <v>TVK</v>
      </c>
      <c r="I156" s="4" t="str">
        <f t="shared" si="5"/>
        <v>TVK</v>
      </c>
    </row>
    <row r="157" spans="1:9" x14ac:dyDescent="0.3">
      <c r="A157" s="4">
        <v>156</v>
      </c>
      <c r="B157" s="4" t="s">
        <v>178</v>
      </c>
      <c r="C157" s="4" t="s">
        <v>174</v>
      </c>
      <c r="D157" s="4" t="s">
        <v>83</v>
      </c>
      <c r="E157" s="4" t="s">
        <v>8</v>
      </c>
      <c r="F157" s="4" t="str">
        <f>VLOOKUP(B157,tn_2021_result!$A:$D,4,FALSE)</f>
        <v>DMK</v>
      </c>
      <c r="G157" s="4" t="str">
        <f t="shared" si="4"/>
        <v>DMK</v>
      </c>
      <c r="H157" s="4" t="str">
        <f>VLOOKUP(B157,tn_2026_result!$A:$D,4,FALSE)</f>
        <v>DMK</v>
      </c>
      <c r="I157" s="4" t="str">
        <f t="shared" si="5"/>
        <v>DMK</v>
      </c>
    </row>
    <row r="158" spans="1:9" x14ac:dyDescent="0.3">
      <c r="A158" s="4">
        <v>157</v>
      </c>
      <c r="B158" s="4" t="s">
        <v>179</v>
      </c>
      <c r="C158" s="4" t="s">
        <v>174</v>
      </c>
      <c r="D158" s="4" t="s">
        <v>83</v>
      </c>
      <c r="E158" s="4" t="s">
        <v>8</v>
      </c>
      <c r="F158" s="4" t="str">
        <f>VLOOKUP(B158,tn_2021_result!$A:$D,4,FALSE)</f>
        <v>AIADMK</v>
      </c>
      <c r="G158" s="4" t="str">
        <f t="shared" si="4"/>
        <v>AIADMK</v>
      </c>
      <c r="H158" s="4" t="str">
        <f>VLOOKUP(B158,tn_2026_result!$A:$D,4,FALSE)</f>
        <v>AIADMK</v>
      </c>
      <c r="I158" s="4" t="str">
        <f t="shared" si="5"/>
        <v>AIADMK</v>
      </c>
    </row>
    <row r="159" spans="1:9" x14ac:dyDescent="0.3">
      <c r="A159" s="4">
        <v>158</v>
      </c>
      <c r="B159" s="4" t="s">
        <v>180</v>
      </c>
      <c r="C159" s="4" t="s">
        <v>174</v>
      </c>
      <c r="D159" s="4" t="s">
        <v>83</v>
      </c>
      <c r="E159" s="4" t="s">
        <v>8</v>
      </c>
      <c r="F159" s="4" t="str">
        <f>VLOOKUP(B159,tn_2021_result!$A:$D,4,FALSE)</f>
        <v>AIADMK</v>
      </c>
      <c r="G159" s="4" t="str">
        <f t="shared" si="4"/>
        <v>AIADMK</v>
      </c>
      <c r="H159" s="4" t="str">
        <f>VLOOKUP(B159,tn_2026_result!$A:$D,4,FALSE)</f>
        <v>DMK</v>
      </c>
      <c r="I159" s="4" t="str">
        <f t="shared" si="5"/>
        <v>DMK</v>
      </c>
    </row>
    <row r="160" spans="1:9" x14ac:dyDescent="0.3">
      <c r="A160" s="4">
        <v>159</v>
      </c>
      <c r="B160" s="4" t="s">
        <v>181</v>
      </c>
      <c r="C160" s="4" t="s">
        <v>174</v>
      </c>
      <c r="D160" s="4" t="s">
        <v>83</v>
      </c>
      <c r="E160" s="4" t="s">
        <v>10</v>
      </c>
      <c r="F160" s="4" t="str">
        <f>VLOOKUP(B160,tn_2021_result!$A:$D,4,FALSE)</f>
        <v>VCK</v>
      </c>
      <c r="G160" s="4" t="str">
        <f t="shared" si="4"/>
        <v>Others</v>
      </c>
      <c r="H160" s="4" t="str">
        <f>VLOOKUP(B160,tn_2026_result!$A:$D,4,FALSE)</f>
        <v>VCK</v>
      </c>
      <c r="I160" s="4" t="str">
        <f t="shared" si="5"/>
        <v>Others</v>
      </c>
    </row>
    <row r="161" spans="1:9" x14ac:dyDescent="0.3">
      <c r="A161" s="4">
        <v>160</v>
      </c>
      <c r="B161" s="4" t="s">
        <v>182</v>
      </c>
      <c r="C161" s="4" t="s">
        <v>183</v>
      </c>
      <c r="D161" s="4" t="s">
        <v>160</v>
      </c>
      <c r="E161" s="4" t="s">
        <v>10</v>
      </c>
      <c r="F161" s="4" t="str">
        <f>VLOOKUP(B161,tn_2021_result!$A:$D,4,FALSE)</f>
        <v>DMK</v>
      </c>
      <c r="G161" s="4" t="str">
        <f t="shared" si="4"/>
        <v>DMK</v>
      </c>
      <c r="H161" s="4" t="str">
        <f>VLOOKUP(B161,tn_2026_result!$A:$D,4,FALSE)</f>
        <v>DMK</v>
      </c>
      <c r="I161" s="4" t="str">
        <f t="shared" si="5"/>
        <v>DMK</v>
      </c>
    </row>
    <row r="162" spans="1:9" x14ac:dyDescent="0.3">
      <c r="A162" s="4">
        <v>161</v>
      </c>
      <c r="B162" s="4" t="s">
        <v>184</v>
      </c>
      <c r="C162" s="4" t="s">
        <v>183</v>
      </c>
      <c r="D162" s="4" t="s">
        <v>160</v>
      </c>
      <c r="E162" s="4" t="s">
        <v>8</v>
      </c>
      <c r="F162" s="4" t="str">
        <f>VLOOKUP(B162,tn_2021_result!$A:$D,4,FALSE)</f>
        <v>INC</v>
      </c>
      <c r="G162" s="4" t="str">
        <f t="shared" si="4"/>
        <v>INC</v>
      </c>
      <c r="H162" s="4" t="str">
        <f>VLOOKUP(B162,tn_2026_result!$A:$D,4,FALSE)</f>
        <v>INC</v>
      </c>
      <c r="I162" s="4" t="str">
        <f t="shared" si="5"/>
        <v>INC</v>
      </c>
    </row>
    <row r="163" spans="1:9" x14ac:dyDescent="0.3">
      <c r="A163" s="4">
        <v>162</v>
      </c>
      <c r="B163" s="4" t="s">
        <v>185</v>
      </c>
      <c r="C163" s="4" t="s">
        <v>183</v>
      </c>
      <c r="D163" s="4" t="s">
        <v>160</v>
      </c>
      <c r="E163" s="4" t="s">
        <v>8</v>
      </c>
      <c r="F163" s="4" t="str">
        <f>VLOOKUP(B163,tn_2021_result!$A:$D,4,FALSE)</f>
        <v>DMK</v>
      </c>
      <c r="G163" s="4" t="str">
        <f t="shared" si="4"/>
        <v>DMK</v>
      </c>
      <c r="H163" s="4" t="str">
        <f>VLOOKUP(B163,tn_2026_result!$A:$D,4,FALSE)</f>
        <v>DMK</v>
      </c>
      <c r="I163" s="4" t="str">
        <f t="shared" si="5"/>
        <v>DMK</v>
      </c>
    </row>
    <row r="164" spans="1:9" x14ac:dyDescent="0.3">
      <c r="A164" s="4">
        <v>163</v>
      </c>
      <c r="B164" s="4" t="s">
        <v>183</v>
      </c>
      <c r="C164" s="4" t="s">
        <v>183</v>
      </c>
      <c r="D164" s="4" t="s">
        <v>160</v>
      </c>
      <c r="E164" s="4" t="s">
        <v>8</v>
      </c>
      <c r="F164" s="4" t="str">
        <f>VLOOKUP(B164,tn_2021_result!$A:$D,4,FALSE)</f>
        <v>VCK</v>
      </c>
      <c r="G164" s="4" t="str">
        <f t="shared" si="4"/>
        <v>Others</v>
      </c>
      <c r="H164" s="4" t="str">
        <f>VLOOKUP(B164,tn_2026_result!$A:$D,4,FALSE)</f>
        <v>DMK</v>
      </c>
      <c r="I164" s="4" t="str">
        <f t="shared" si="5"/>
        <v>DMK</v>
      </c>
    </row>
    <row r="165" spans="1:9" x14ac:dyDescent="0.3">
      <c r="A165" s="4">
        <v>164</v>
      </c>
      <c r="B165" s="4" t="s">
        <v>186</v>
      </c>
      <c r="C165" s="4" t="s">
        <v>183</v>
      </c>
      <c r="D165" s="4" t="s">
        <v>160</v>
      </c>
      <c r="E165" s="4" t="s">
        <v>10</v>
      </c>
      <c r="F165" s="4" t="str">
        <f>VLOOKUP(B165,tn_2021_result!$A:$D,4,FALSE)</f>
        <v>CPI(M)</v>
      </c>
      <c r="G165" s="4" t="str">
        <f t="shared" si="4"/>
        <v>Others</v>
      </c>
      <c r="H165" s="4" t="str">
        <f>VLOOKUP(B165,tn_2026_result!$A:$D,4,FALSE)</f>
        <v>CPI(M)</v>
      </c>
      <c r="I165" s="4" t="str">
        <f t="shared" si="5"/>
        <v>Others</v>
      </c>
    </row>
    <row r="166" spans="1:9" x14ac:dyDescent="0.3">
      <c r="A166" s="4">
        <v>165</v>
      </c>
      <c r="B166" s="4" t="s">
        <v>187</v>
      </c>
      <c r="C166" s="4" t="s">
        <v>183</v>
      </c>
      <c r="D166" s="4" t="s">
        <v>160</v>
      </c>
      <c r="E166" s="4" t="s">
        <v>8</v>
      </c>
      <c r="F166" s="4" t="str">
        <f>VLOOKUP(B166,tn_2021_result!$A:$D,4,FALSE)</f>
        <v>AIADMK</v>
      </c>
      <c r="G166" s="4" t="str">
        <f t="shared" si="4"/>
        <v>AIADMK</v>
      </c>
      <c r="H166" s="4" t="str">
        <f>VLOOKUP(B166,tn_2026_result!$A:$D,4,FALSE)</f>
        <v>AIADMK</v>
      </c>
      <c r="I166" s="4" t="str">
        <f t="shared" si="5"/>
        <v>AIADMK</v>
      </c>
    </row>
    <row r="167" spans="1:9" x14ac:dyDescent="0.3">
      <c r="A167" s="4">
        <v>166</v>
      </c>
      <c r="B167" s="4" t="s">
        <v>188</v>
      </c>
      <c r="C167" s="4" t="s">
        <v>189</v>
      </c>
      <c r="D167" s="4" t="s">
        <v>160</v>
      </c>
      <c r="E167" s="4" t="s">
        <v>10</v>
      </c>
      <c r="F167" s="4" t="str">
        <f>VLOOKUP(B167,tn_2021_result!$A:$D,4,FALSE)</f>
        <v>CPI</v>
      </c>
      <c r="G167" s="4" t="str">
        <f t="shared" si="4"/>
        <v>Others</v>
      </c>
      <c r="H167" s="4" t="str">
        <f>VLOOKUP(B167,tn_2026_result!$A:$D,4,FALSE)</f>
        <v>CPI</v>
      </c>
      <c r="I167" s="4" t="str">
        <f t="shared" si="5"/>
        <v>Others</v>
      </c>
    </row>
    <row r="168" spans="1:9" x14ac:dyDescent="0.3">
      <c r="A168" s="4">
        <v>167</v>
      </c>
      <c r="B168" s="4" t="s">
        <v>190</v>
      </c>
      <c r="C168" s="4" t="s">
        <v>189</v>
      </c>
      <c r="D168" s="4" t="s">
        <v>160</v>
      </c>
      <c r="E168" s="4" t="s">
        <v>8</v>
      </c>
      <c r="F168" s="4" t="str">
        <f>VLOOKUP(B168,tn_2021_result!$A:$D,4,FALSE)</f>
        <v>DMK</v>
      </c>
      <c r="G168" s="4" t="str">
        <f t="shared" si="4"/>
        <v>DMK</v>
      </c>
      <c r="H168" s="4" t="str">
        <f>VLOOKUP(B168,tn_2026_result!$A:$D,4,FALSE)</f>
        <v>AMMK</v>
      </c>
      <c r="I168" s="4" t="str">
        <f t="shared" si="5"/>
        <v>Others</v>
      </c>
    </row>
    <row r="169" spans="1:9" x14ac:dyDescent="0.3">
      <c r="A169" s="4">
        <v>168</v>
      </c>
      <c r="B169" s="4" t="s">
        <v>191</v>
      </c>
      <c r="C169" s="4" t="s">
        <v>189</v>
      </c>
      <c r="D169" s="4" t="s">
        <v>160</v>
      </c>
      <c r="E169" s="4" t="s">
        <v>8</v>
      </c>
      <c r="F169" s="4" t="str">
        <f>VLOOKUP(B169,tn_2021_result!$A:$D,4,FALSE)</f>
        <v>DMK</v>
      </c>
      <c r="G169" s="4" t="str">
        <f t="shared" si="4"/>
        <v>DMK</v>
      </c>
      <c r="H169" s="4" t="str">
        <f>VLOOKUP(B169,tn_2026_result!$A:$D,4,FALSE)</f>
        <v>DMK</v>
      </c>
      <c r="I169" s="4" t="str">
        <f t="shared" si="5"/>
        <v>DMK</v>
      </c>
    </row>
    <row r="170" spans="1:9" x14ac:dyDescent="0.3">
      <c r="A170" s="4">
        <v>169</v>
      </c>
      <c r="B170" s="4" t="s">
        <v>192</v>
      </c>
      <c r="C170" s="4" t="s">
        <v>189</v>
      </c>
      <c r="D170" s="4" t="s">
        <v>160</v>
      </c>
      <c r="E170" s="4" t="s">
        <v>8</v>
      </c>
      <c r="F170" s="4" t="str">
        <f>VLOOKUP(B170,tn_2021_result!$A:$D,4,FALSE)</f>
        <v>AIADMK</v>
      </c>
      <c r="G170" s="4" t="str">
        <f t="shared" si="4"/>
        <v>AIADMK</v>
      </c>
      <c r="H170" s="4" t="str">
        <f>VLOOKUP(B170,tn_2026_result!$A:$D,4,FALSE)</f>
        <v>AIADMK</v>
      </c>
      <c r="I170" s="4" t="str">
        <f t="shared" si="5"/>
        <v>AIADMK</v>
      </c>
    </row>
    <row r="171" spans="1:9" x14ac:dyDescent="0.3">
      <c r="A171" s="4">
        <v>170</v>
      </c>
      <c r="B171" s="4" t="s">
        <v>193</v>
      </c>
      <c r="C171" s="4" t="s">
        <v>194</v>
      </c>
      <c r="D171" s="4" t="s">
        <v>160</v>
      </c>
      <c r="E171" s="4" t="s">
        <v>10</v>
      </c>
      <c r="F171" s="4" t="str">
        <f>VLOOKUP(B171,tn_2021_result!$A:$D,4,FALSE)</f>
        <v>DMK</v>
      </c>
      <c r="G171" s="4" t="str">
        <f t="shared" si="4"/>
        <v>DMK</v>
      </c>
      <c r="H171" s="4" t="str">
        <f>VLOOKUP(B171,tn_2026_result!$A:$D,4,FALSE)</f>
        <v>DMK</v>
      </c>
      <c r="I171" s="4" t="str">
        <f t="shared" si="5"/>
        <v>DMK</v>
      </c>
    </row>
    <row r="172" spans="1:9" x14ac:dyDescent="0.3">
      <c r="A172" s="4">
        <v>171</v>
      </c>
      <c r="B172" s="4" t="s">
        <v>195</v>
      </c>
      <c r="C172" s="4" t="s">
        <v>194</v>
      </c>
      <c r="D172" s="4" t="s">
        <v>160</v>
      </c>
      <c r="E172" s="4" t="s">
        <v>8</v>
      </c>
      <c r="F172" s="4" t="str">
        <f>VLOOKUP(B172,tn_2021_result!$A:$D,4,FALSE)</f>
        <v>DMK</v>
      </c>
      <c r="G172" s="4" t="str">
        <f t="shared" si="4"/>
        <v>DMK</v>
      </c>
      <c r="H172" s="4" t="str">
        <f>VLOOKUP(B172,tn_2026_result!$A:$D,4,FALSE)</f>
        <v>TVK</v>
      </c>
      <c r="I172" s="4" t="str">
        <f t="shared" si="5"/>
        <v>TVK</v>
      </c>
    </row>
    <row r="173" spans="1:9" x14ac:dyDescent="0.3">
      <c r="A173" s="4">
        <v>172</v>
      </c>
      <c r="B173" s="4" t="s">
        <v>196</v>
      </c>
      <c r="C173" s="4" t="s">
        <v>194</v>
      </c>
      <c r="D173" s="4" t="s">
        <v>160</v>
      </c>
      <c r="E173" s="4" t="s">
        <v>8</v>
      </c>
      <c r="F173" s="4" t="str">
        <f>VLOOKUP(B173,tn_2021_result!$A:$D,4,FALSE)</f>
        <v>DMK</v>
      </c>
      <c r="G173" s="4" t="str">
        <f t="shared" si="4"/>
        <v>DMK</v>
      </c>
      <c r="H173" s="4" t="str">
        <f>VLOOKUP(B173,tn_2026_result!$A:$D,4,FALSE)</f>
        <v>IUML</v>
      </c>
      <c r="I173" s="4" t="str">
        <f t="shared" si="5"/>
        <v>Others</v>
      </c>
    </row>
    <row r="174" spans="1:9" x14ac:dyDescent="0.3">
      <c r="A174" s="4">
        <v>173</v>
      </c>
      <c r="B174" s="4" t="s">
        <v>197</v>
      </c>
      <c r="C174" s="4" t="s">
        <v>194</v>
      </c>
      <c r="D174" s="4" t="s">
        <v>160</v>
      </c>
      <c r="E174" s="4" t="s">
        <v>8</v>
      </c>
      <c r="F174" s="4" t="str">
        <f>VLOOKUP(B174,tn_2021_result!$A:$D,4,FALSE)</f>
        <v>DMK</v>
      </c>
      <c r="G174" s="4" t="str">
        <f t="shared" si="4"/>
        <v>DMK</v>
      </c>
      <c r="H174" s="4" t="str">
        <f>VLOOKUP(B174,tn_2026_result!$A:$D,4,FALSE)</f>
        <v>DMK</v>
      </c>
      <c r="I174" s="4" t="str">
        <f t="shared" si="5"/>
        <v>DMK</v>
      </c>
    </row>
    <row r="175" spans="1:9" x14ac:dyDescent="0.3">
      <c r="A175" s="4">
        <v>174</v>
      </c>
      <c r="B175" s="4" t="s">
        <v>194</v>
      </c>
      <c r="C175" s="4" t="s">
        <v>194</v>
      </c>
      <c r="D175" s="4" t="s">
        <v>160</v>
      </c>
      <c r="E175" s="4" t="s">
        <v>8</v>
      </c>
      <c r="F175" s="4" t="str">
        <f>VLOOKUP(B175,tn_2021_result!$A:$D,4,FALSE)</f>
        <v>DMK</v>
      </c>
      <c r="G175" s="4" t="str">
        <f t="shared" si="4"/>
        <v>DMK</v>
      </c>
      <c r="H175" s="4" t="str">
        <f>VLOOKUP(B175,tn_2026_result!$A:$D,4,FALSE)</f>
        <v>TVK</v>
      </c>
      <c r="I175" s="4" t="str">
        <f t="shared" si="5"/>
        <v>TVK</v>
      </c>
    </row>
    <row r="176" spans="1:9" x14ac:dyDescent="0.3">
      <c r="A176" s="4">
        <v>175</v>
      </c>
      <c r="B176" s="4" t="s">
        <v>198</v>
      </c>
      <c r="C176" s="4" t="s">
        <v>194</v>
      </c>
      <c r="D176" s="4" t="s">
        <v>160</v>
      </c>
      <c r="E176" s="4" t="s">
        <v>8</v>
      </c>
      <c r="F176" s="4" t="str">
        <f>VLOOKUP(B176,tn_2021_result!$A:$D,4,FALSE)</f>
        <v>AIADMK</v>
      </c>
      <c r="G176" s="4" t="str">
        <f t="shared" si="4"/>
        <v>AIADMK</v>
      </c>
      <c r="H176" s="4" t="str">
        <f>VLOOKUP(B176,tn_2026_result!$A:$D,4,FALSE)</f>
        <v>DMK</v>
      </c>
      <c r="I176" s="4" t="str">
        <f t="shared" si="5"/>
        <v>DMK</v>
      </c>
    </row>
    <row r="177" spans="1:9" x14ac:dyDescent="0.3">
      <c r="A177" s="4">
        <v>176</v>
      </c>
      <c r="B177" s="4" t="s">
        <v>199</v>
      </c>
      <c r="C177" s="4" t="s">
        <v>194</v>
      </c>
      <c r="D177" s="4" t="s">
        <v>160</v>
      </c>
      <c r="E177" s="4" t="s">
        <v>8</v>
      </c>
      <c r="F177" s="4" t="str">
        <f>VLOOKUP(B177,tn_2021_result!$A:$D,4,FALSE)</f>
        <v>DMK</v>
      </c>
      <c r="G177" s="4" t="str">
        <f t="shared" si="4"/>
        <v>DMK</v>
      </c>
      <c r="H177" s="4" t="str">
        <f>VLOOKUP(B177,tn_2026_result!$A:$D,4,FALSE)</f>
        <v>DMK</v>
      </c>
      <c r="I177" s="4" t="str">
        <f t="shared" si="5"/>
        <v>DMK</v>
      </c>
    </row>
    <row r="178" spans="1:9" x14ac:dyDescent="0.3">
      <c r="A178" s="4">
        <v>177</v>
      </c>
      <c r="B178" s="4" t="s">
        <v>200</v>
      </c>
      <c r="C178" s="4" t="s">
        <v>194</v>
      </c>
      <c r="D178" s="4" t="s">
        <v>160</v>
      </c>
      <c r="E178" s="4" t="s">
        <v>8</v>
      </c>
      <c r="F178" s="4" t="str">
        <f>VLOOKUP(B178,tn_2021_result!$A:$D,4,FALSE)</f>
        <v>DMK</v>
      </c>
      <c r="G178" s="4" t="str">
        <f t="shared" si="4"/>
        <v>DMK</v>
      </c>
      <c r="H178" s="4" t="str">
        <f>VLOOKUP(B178,tn_2026_result!$A:$D,4,FALSE)</f>
        <v>DMK</v>
      </c>
      <c r="I178" s="4" t="str">
        <f t="shared" si="5"/>
        <v>DMK</v>
      </c>
    </row>
    <row r="179" spans="1:9" x14ac:dyDescent="0.3">
      <c r="A179" s="4">
        <v>178</v>
      </c>
      <c r="B179" s="4" t="s">
        <v>201</v>
      </c>
      <c r="C179" s="4" t="s">
        <v>202</v>
      </c>
      <c r="D179" s="4" t="s">
        <v>160</v>
      </c>
      <c r="E179" s="4" t="s">
        <v>10</v>
      </c>
      <c r="F179" s="4" t="str">
        <f>VLOOKUP(B179,tn_2021_result!$A:$D,4,FALSE)</f>
        <v>CPI(M)</v>
      </c>
      <c r="G179" s="4" t="str">
        <f t="shared" si="4"/>
        <v>Others</v>
      </c>
      <c r="H179" s="4" t="str">
        <f>VLOOKUP(B179,tn_2026_result!$A:$D,4,FALSE)</f>
        <v>TVK</v>
      </c>
      <c r="I179" s="4" t="str">
        <f t="shared" si="5"/>
        <v>TVK</v>
      </c>
    </row>
    <row r="180" spans="1:9" x14ac:dyDescent="0.3">
      <c r="A180" s="4">
        <v>179</v>
      </c>
      <c r="B180" s="4" t="s">
        <v>203</v>
      </c>
      <c r="C180" s="4" t="s">
        <v>202</v>
      </c>
      <c r="D180" s="4" t="s">
        <v>160</v>
      </c>
      <c r="E180" s="4" t="s">
        <v>8</v>
      </c>
      <c r="F180" s="4" t="str">
        <f>VLOOKUP(B180,tn_2021_result!$A:$D,4,FALSE)</f>
        <v>AIADMK</v>
      </c>
      <c r="G180" s="4" t="str">
        <f t="shared" si="4"/>
        <v>AIADMK</v>
      </c>
      <c r="H180" s="4" t="str">
        <f>VLOOKUP(B180,tn_2026_result!$A:$D,4,FALSE)</f>
        <v>AIADMK</v>
      </c>
      <c r="I180" s="4" t="str">
        <f t="shared" si="5"/>
        <v>AIADMK</v>
      </c>
    </row>
    <row r="181" spans="1:9" x14ac:dyDescent="0.3">
      <c r="A181" s="4">
        <v>180</v>
      </c>
      <c r="B181" s="4" t="s">
        <v>202</v>
      </c>
      <c r="C181" s="4" t="s">
        <v>202</v>
      </c>
      <c r="D181" s="4" t="s">
        <v>160</v>
      </c>
      <c r="E181" s="4" t="s">
        <v>8</v>
      </c>
      <c r="F181" s="4" t="str">
        <f>VLOOKUP(B181,tn_2021_result!$A:$D,4,FALSE)</f>
        <v>DMK</v>
      </c>
      <c r="G181" s="4" t="str">
        <f t="shared" si="4"/>
        <v>DMK</v>
      </c>
      <c r="H181" s="4" t="str">
        <f>VLOOKUP(B181,tn_2026_result!$A:$D,4,FALSE)</f>
        <v>DMK</v>
      </c>
      <c r="I181" s="4" t="str">
        <f t="shared" si="5"/>
        <v>DMK</v>
      </c>
    </row>
    <row r="182" spans="1:9" x14ac:dyDescent="0.3">
      <c r="A182" s="4">
        <v>181</v>
      </c>
      <c r="B182" s="4" t="s">
        <v>204</v>
      </c>
      <c r="C182" s="4" t="s">
        <v>202</v>
      </c>
      <c r="D182" s="4" t="s">
        <v>160</v>
      </c>
      <c r="E182" s="4" t="s">
        <v>8</v>
      </c>
      <c r="F182" s="4" t="str">
        <f>VLOOKUP(B182,tn_2021_result!$A:$D,4,FALSE)</f>
        <v>DMK</v>
      </c>
      <c r="G182" s="4" t="str">
        <f t="shared" si="4"/>
        <v>DMK</v>
      </c>
      <c r="H182" s="4" t="str">
        <f>VLOOKUP(B182,tn_2026_result!$A:$D,4,FALSE)</f>
        <v>DMK</v>
      </c>
      <c r="I182" s="4" t="str">
        <f t="shared" si="5"/>
        <v>DMK</v>
      </c>
    </row>
    <row r="183" spans="1:9" x14ac:dyDescent="0.3">
      <c r="A183" s="4">
        <v>182</v>
      </c>
      <c r="B183" s="4" t="s">
        <v>205</v>
      </c>
      <c r="C183" s="4" t="s">
        <v>202</v>
      </c>
      <c r="D183" s="4" t="s">
        <v>160</v>
      </c>
      <c r="E183" s="4" t="s">
        <v>8</v>
      </c>
      <c r="F183" s="4" t="str">
        <f>VLOOKUP(B183,tn_2021_result!$A:$D,4,FALSE)</f>
        <v>DMK</v>
      </c>
      <c r="G183" s="4" t="str">
        <f t="shared" si="4"/>
        <v>DMK</v>
      </c>
      <c r="H183" s="4" t="str">
        <f>VLOOKUP(B183,tn_2026_result!$A:$D,4,FALSE)</f>
        <v>DMK</v>
      </c>
      <c r="I183" s="4" t="str">
        <f t="shared" si="5"/>
        <v>DMK</v>
      </c>
    </row>
    <row r="184" spans="1:9" x14ac:dyDescent="0.3">
      <c r="A184" s="4">
        <v>183</v>
      </c>
      <c r="B184" s="4" t="s">
        <v>206</v>
      </c>
      <c r="C184" s="4" t="s">
        <v>202</v>
      </c>
      <c r="D184" s="4" t="s">
        <v>160</v>
      </c>
      <c r="E184" s="4" t="s">
        <v>8</v>
      </c>
      <c r="F184" s="4" t="str">
        <f>VLOOKUP(B184,tn_2021_result!$A:$D,4,FALSE)</f>
        <v>INC</v>
      </c>
      <c r="G184" s="4" t="str">
        <f t="shared" si="4"/>
        <v>INC</v>
      </c>
      <c r="H184" s="4" t="str">
        <f>VLOOKUP(B184,tn_2026_result!$A:$D,4,FALSE)</f>
        <v>TVK</v>
      </c>
      <c r="I184" s="4" t="str">
        <f t="shared" si="5"/>
        <v>TVK</v>
      </c>
    </row>
    <row r="185" spans="1:9" x14ac:dyDescent="0.3">
      <c r="A185" s="4">
        <v>184</v>
      </c>
      <c r="B185" s="4" t="s">
        <v>207</v>
      </c>
      <c r="C185" s="4" t="s">
        <v>208</v>
      </c>
      <c r="D185" s="4" t="s">
        <v>148</v>
      </c>
      <c r="E185" s="4" t="s">
        <v>8</v>
      </c>
      <c r="F185" s="4" t="str">
        <f>VLOOKUP(B185,tn_2021_result!$A:$D,4,FALSE)</f>
        <v>INC</v>
      </c>
      <c r="G185" s="4" t="str">
        <f t="shared" si="4"/>
        <v>INC</v>
      </c>
      <c r="H185" s="4" t="str">
        <f>VLOOKUP(B185,tn_2026_result!$A:$D,4,FALSE)</f>
        <v>TVK</v>
      </c>
      <c r="I185" s="4" t="str">
        <f t="shared" si="5"/>
        <v>TVK</v>
      </c>
    </row>
    <row r="186" spans="1:9" x14ac:dyDescent="0.3">
      <c r="A186" s="4">
        <v>185</v>
      </c>
      <c r="B186" s="4" t="s">
        <v>61</v>
      </c>
      <c r="C186" s="4" t="s">
        <v>208</v>
      </c>
      <c r="D186" s="4" t="s">
        <v>148</v>
      </c>
      <c r="E186" s="4" t="s">
        <v>8</v>
      </c>
      <c r="F186" s="4" t="str">
        <f>VLOOKUP(B186,tn_2021_result!$A:$D,4,FALSE)</f>
        <v>DMK</v>
      </c>
      <c r="G186" s="4" t="str">
        <f t="shared" si="4"/>
        <v>DMK</v>
      </c>
      <c r="H186" s="4" t="str">
        <f>VLOOKUP(B186,tn_2026_result!$A:$D,4,FALSE)</f>
        <v>TVK</v>
      </c>
      <c r="I186" s="4" t="str">
        <f t="shared" si="5"/>
        <v>TVK</v>
      </c>
    </row>
    <row r="187" spans="1:9" x14ac:dyDescent="0.3">
      <c r="A187" s="4">
        <v>186</v>
      </c>
      <c r="B187" s="4" t="s">
        <v>208</v>
      </c>
      <c r="C187" s="4" t="s">
        <v>208</v>
      </c>
      <c r="D187" s="4" t="s">
        <v>148</v>
      </c>
      <c r="E187" s="4" t="s">
        <v>8</v>
      </c>
      <c r="F187" s="4" t="str">
        <f>VLOOKUP(B187,tn_2021_result!$A:$D,4,FALSE)</f>
        <v>AIADMK</v>
      </c>
      <c r="G187" s="4" t="str">
        <f t="shared" si="4"/>
        <v>AIADMK</v>
      </c>
      <c r="H187" s="4" t="str">
        <f>VLOOKUP(B187,tn_2026_result!$A:$D,4,FALSE)</f>
        <v>TVK</v>
      </c>
      <c r="I187" s="4" t="str">
        <f t="shared" si="5"/>
        <v>TVK</v>
      </c>
    </row>
    <row r="188" spans="1:9" x14ac:dyDescent="0.3">
      <c r="A188" s="4">
        <v>187</v>
      </c>
      <c r="B188" s="4" t="s">
        <v>209</v>
      </c>
      <c r="C188" s="4" t="s">
        <v>208</v>
      </c>
      <c r="D188" s="4" t="s">
        <v>148</v>
      </c>
      <c r="E188" s="4" t="s">
        <v>10</v>
      </c>
      <c r="F188" s="4" t="str">
        <f>VLOOKUP(B188,tn_2021_result!$A:$D,4,FALSE)</f>
        <v>DMK</v>
      </c>
      <c r="G188" s="4" t="str">
        <f t="shared" si="4"/>
        <v>DMK</v>
      </c>
      <c r="H188" s="4" t="str">
        <f>VLOOKUP(B188,tn_2026_result!$A:$D,4,FALSE)</f>
        <v>TVK</v>
      </c>
      <c r="I188" s="4" t="str">
        <f t="shared" si="5"/>
        <v>TVK</v>
      </c>
    </row>
    <row r="189" spans="1:9" x14ac:dyDescent="0.3">
      <c r="A189" s="4">
        <v>188</v>
      </c>
      <c r="B189" s="4" t="s">
        <v>210</v>
      </c>
      <c r="C189" s="4" t="s">
        <v>211</v>
      </c>
      <c r="D189" s="4" t="s">
        <v>148</v>
      </c>
      <c r="E189" s="4" t="s">
        <v>8</v>
      </c>
      <c r="F189" s="4" t="str">
        <f>VLOOKUP(B189,tn_2021_result!$A:$D,4,FALSE)</f>
        <v>AIADMK</v>
      </c>
      <c r="G189" s="4" t="str">
        <f t="shared" si="4"/>
        <v>AIADMK</v>
      </c>
      <c r="H189" s="4" t="str">
        <f>VLOOKUP(B189,tn_2026_result!$A:$D,4,FALSE)</f>
        <v>INC</v>
      </c>
      <c r="I189" s="4" t="str">
        <f t="shared" si="5"/>
        <v>INC</v>
      </c>
    </row>
    <row r="190" spans="1:9" x14ac:dyDescent="0.3">
      <c r="A190" s="4">
        <v>189</v>
      </c>
      <c r="B190" s="4" t="s">
        <v>212</v>
      </c>
      <c r="C190" s="4" t="s">
        <v>211</v>
      </c>
      <c r="D190" s="4" t="s">
        <v>148</v>
      </c>
      <c r="E190" s="4" t="s">
        <v>8</v>
      </c>
      <c r="F190" s="4" t="str">
        <f>VLOOKUP(B190,tn_2021_result!$A:$D,4,FALSE)</f>
        <v>DMK</v>
      </c>
      <c r="G190" s="4" t="str">
        <f t="shared" si="4"/>
        <v>DMK</v>
      </c>
      <c r="H190" s="4" t="str">
        <f>VLOOKUP(B190,tn_2026_result!$A:$D,4,FALSE)</f>
        <v>TVK</v>
      </c>
      <c r="I190" s="4" t="str">
        <f t="shared" si="5"/>
        <v>TVK</v>
      </c>
    </row>
    <row r="191" spans="1:9" x14ac:dyDescent="0.3">
      <c r="A191" s="4">
        <v>190</v>
      </c>
      <c r="B191" s="4" t="s">
        <v>213</v>
      </c>
      <c r="C191" s="4" t="s">
        <v>211</v>
      </c>
      <c r="D191" s="4" t="s">
        <v>148</v>
      </c>
      <c r="E191" s="4" t="s">
        <v>10</v>
      </c>
      <c r="F191" s="4" t="str">
        <f>VLOOKUP(B191,tn_2021_result!$A:$D,4,FALSE)</f>
        <v>DMK</v>
      </c>
      <c r="G191" s="4" t="str">
        <f t="shared" si="4"/>
        <v>DMK</v>
      </c>
      <c r="H191" s="4" t="str">
        <f>VLOOKUP(B191,tn_2026_result!$A:$D,4,FALSE)</f>
        <v>TVK</v>
      </c>
      <c r="I191" s="4" t="str">
        <f t="shared" si="5"/>
        <v>TVK</v>
      </c>
    </row>
    <row r="192" spans="1:9" x14ac:dyDescent="0.3">
      <c r="A192" s="4">
        <v>191</v>
      </c>
      <c r="B192" s="4" t="s">
        <v>214</v>
      </c>
      <c r="C192" s="4" t="s">
        <v>211</v>
      </c>
      <c r="D192" s="4" t="s">
        <v>148</v>
      </c>
      <c r="E192" s="4" t="s">
        <v>8</v>
      </c>
      <c r="F192" s="4" t="str">
        <f>VLOOKUP(B192,tn_2021_result!$A:$D,4,FALSE)</f>
        <v>DMK</v>
      </c>
      <c r="G192" s="4" t="str">
        <f t="shared" si="4"/>
        <v>DMK</v>
      </c>
      <c r="H192" s="4" t="str">
        <f>VLOOKUP(B192,tn_2026_result!$A:$D,4,FALSE)</f>
        <v>TVK</v>
      </c>
      <c r="I192" s="4" t="str">
        <f t="shared" si="5"/>
        <v>TVK</v>
      </c>
    </row>
    <row r="193" spans="1:9" x14ac:dyDescent="0.3">
      <c r="A193" s="4">
        <v>192</v>
      </c>
      <c r="B193" s="4" t="s">
        <v>215</v>
      </c>
      <c r="C193" s="4" t="s">
        <v>211</v>
      </c>
      <c r="D193" s="4" t="s">
        <v>148</v>
      </c>
      <c r="E193" s="4" t="s">
        <v>8</v>
      </c>
      <c r="F193" s="4" t="str">
        <f>VLOOKUP(B193,tn_2021_result!$A:$D,4,FALSE)</f>
        <v>DMK</v>
      </c>
      <c r="G193" s="4" t="str">
        <f t="shared" si="4"/>
        <v>DMK</v>
      </c>
      <c r="H193" s="4" t="str">
        <f>VLOOKUP(B193,tn_2026_result!$A:$D,4,FALSE)</f>
        <v>TVK</v>
      </c>
      <c r="I193" s="4" t="str">
        <f t="shared" si="5"/>
        <v>TVK</v>
      </c>
    </row>
    <row r="194" spans="1:9" x14ac:dyDescent="0.3">
      <c r="A194" s="4">
        <v>193</v>
      </c>
      <c r="B194" s="4" t="s">
        <v>216</v>
      </c>
      <c r="C194" s="4" t="s">
        <v>211</v>
      </c>
      <c r="D194" s="4" t="s">
        <v>148</v>
      </c>
      <c r="E194" s="4" t="s">
        <v>8</v>
      </c>
      <c r="F194" s="4" t="str">
        <f>VLOOKUP(B194,tn_2021_result!$A:$D,4,FALSE)</f>
        <v>DMK</v>
      </c>
      <c r="G194" s="4" t="str">
        <f t="shared" si="4"/>
        <v>DMK</v>
      </c>
      <c r="H194" s="4" t="str">
        <f>VLOOKUP(B194,tn_2026_result!$A:$D,4,FALSE)</f>
        <v>TVK</v>
      </c>
      <c r="I194" s="4" t="str">
        <f t="shared" si="5"/>
        <v>TVK</v>
      </c>
    </row>
    <row r="195" spans="1:9" x14ac:dyDescent="0.3">
      <c r="A195" s="4">
        <v>194</v>
      </c>
      <c r="B195" s="4" t="s">
        <v>217</v>
      </c>
      <c r="C195" s="4" t="s">
        <v>211</v>
      </c>
      <c r="D195" s="4" t="s">
        <v>148</v>
      </c>
      <c r="E195" s="4" t="s">
        <v>8</v>
      </c>
      <c r="F195" s="4" t="str">
        <f>VLOOKUP(B195,tn_2021_result!$A:$D,4,FALSE)</f>
        <v>AIADMK</v>
      </c>
      <c r="G195" s="4" t="str">
        <f t="shared" ref="G195:G235" si="6">IF(OR(F195="DMK",F195="AIADMK",F195="INC",F195="PMK",F195="TVK"),F195,"Others")</f>
        <v>AIADMK</v>
      </c>
      <c r="H195" s="4" t="str">
        <f>VLOOKUP(B195,tn_2026_result!$A:$D,4,FALSE)</f>
        <v>TVK</v>
      </c>
      <c r="I195" s="4" t="str">
        <f t="shared" ref="I195:I235" si="7">IF(OR(H195="DMK",H195="AIADMK",H195="INC",H195="PMK",H195="TVK"),H195,"Others")</f>
        <v>TVK</v>
      </c>
    </row>
    <row r="196" spans="1:9" x14ac:dyDescent="0.3">
      <c r="A196" s="4">
        <v>195</v>
      </c>
      <c r="B196" s="4" t="s">
        <v>218</v>
      </c>
      <c r="C196" s="4" t="s">
        <v>211</v>
      </c>
      <c r="D196" s="4" t="s">
        <v>148</v>
      </c>
      <c r="E196" s="4" t="s">
        <v>8</v>
      </c>
      <c r="F196" s="4" t="str">
        <f>VLOOKUP(B196,tn_2021_result!$A:$D,4,FALSE)</f>
        <v>AIADMK</v>
      </c>
      <c r="G196" s="4" t="str">
        <f t="shared" si="6"/>
        <v>AIADMK</v>
      </c>
      <c r="H196" s="4" t="str">
        <f>VLOOKUP(B196,tn_2026_result!$A:$D,4,FALSE)</f>
        <v>TVK</v>
      </c>
      <c r="I196" s="4" t="str">
        <f t="shared" si="7"/>
        <v>TVK</v>
      </c>
    </row>
    <row r="197" spans="1:9" x14ac:dyDescent="0.3">
      <c r="A197" s="4">
        <v>196</v>
      </c>
      <c r="B197" s="4" t="s">
        <v>219</v>
      </c>
      <c r="C197" s="4" t="s">
        <v>211</v>
      </c>
      <c r="D197" s="4" t="s">
        <v>148</v>
      </c>
      <c r="E197" s="4" t="s">
        <v>8</v>
      </c>
      <c r="F197" s="4" t="str">
        <f>VLOOKUP(B197,tn_2021_result!$A:$D,4,FALSE)</f>
        <v>AIADMK</v>
      </c>
      <c r="G197" s="4" t="str">
        <f t="shared" si="6"/>
        <v>AIADMK</v>
      </c>
      <c r="H197" s="4" t="str">
        <f>VLOOKUP(B197,tn_2026_result!$A:$D,4,FALSE)</f>
        <v>DMK</v>
      </c>
      <c r="I197" s="4" t="str">
        <f t="shared" si="7"/>
        <v>DMK</v>
      </c>
    </row>
    <row r="198" spans="1:9" x14ac:dyDescent="0.3">
      <c r="A198" s="4">
        <v>197</v>
      </c>
      <c r="B198" s="4" t="s">
        <v>220</v>
      </c>
      <c r="C198" s="4" t="s">
        <v>211</v>
      </c>
      <c r="D198" s="4" t="s">
        <v>148</v>
      </c>
      <c r="E198" s="4" t="s">
        <v>8</v>
      </c>
      <c r="F198" s="4" t="str">
        <f>VLOOKUP(B198,tn_2021_result!$A:$D,4,FALSE)</f>
        <v>AIADMK</v>
      </c>
      <c r="G198" s="4" t="str">
        <f t="shared" si="6"/>
        <v>AIADMK</v>
      </c>
      <c r="H198" s="4" t="str">
        <f>VLOOKUP(B198,tn_2026_result!$A:$D,4,FALSE)</f>
        <v>TVK</v>
      </c>
      <c r="I198" s="4" t="str">
        <f t="shared" si="7"/>
        <v>TVK</v>
      </c>
    </row>
    <row r="199" spans="1:9" x14ac:dyDescent="0.3">
      <c r="A199" s="4">
        <v>198</v>
      </c>
      <c r="B199" s="4" t="s">
        <v>221</v>
      </c>
      <c r="C199" s="4" t="s">
        <v>222</v>
      </c>
      <c r="D199" s="4" t="s">
        <v>148</v>
      </c>
      <c r="E199" s="4" t="s">
        <v>8</v>
      </c>
      <c r="F199" s="4" t="str">
        <f>VLOOKUP(B199,tn_2021_result!$A:$D,4,FALSE)</f>
        <v>DMK</v>
      </c>
      <c r="G199" s="4" t="str">
        <f t="shared" si="6"/>
        <v>DMK</v>
      </c>
      <c r="H199" s="4" t="str">
        <f>VLOOKUP(B199,tn_2026_result!$A:$D,4,FALSE)</f>
        <v>DMK</v>
      </c>
      <c r="I199" s="4" t="str">
        <f t="shared" si="7"/>
        <v>DMK</v>
      </c>
    </row>
    <row r="200" spans="1:9" x14ac:dyDescent="0.3">
      <c r="A200" s="4">
        <v>199</v>
      </c>
      <c r="B200" s="4" t="s">
        <v>223</v>
      </c>
      <c r="C200" s="4" t="s">
        <v>222</v>
      </c>
      <c r="D200" s="4" t="s">
        <v>148</v>
      </c>
      <c r="E200" s="4" t="s">
        <v>10</v>
      </c>
      <c r="F200" s="4" t="str">
        <f>VLOOKUP(B200,tn_2021_result!$A:$D,4,FALSE)</f>
        <v>DMK</v>
      </c>
      <c r="G200" s="4" t="str">
        <f t="shared" si="6"/>
        <v>DMK</v>
      </c>
      <c r="H200" s="4" t="str">
        <f>VLOOKUP(B200,tn_2026_result!$A:$D,4,FALSE)</f>
        <v>TVK</v>
      </c>
      <c r="I200" s="4" t="str">
        <f t="shared" si="7"/>
        <v>TVK</v>
      </c>
    </row>
    <row r="201" spans="1:9" x14ac:dyDescent="0.3">
      <c r="A201" s="4">
        <v>200</v>
      </c>
      <c r="B201" s="4" t="s">
        <v>224</v>
      </c>
      <c r="C201" s="4" t="s">
        <v>222</v>
      </c>
      <c r="D201" s="4" t="s">
        <v>148</v>
      </c>
      <c r="E201" s="4" t="s">
        <v>8</v>
      </c>
      <c r="F201" s="4" t="str">
        <f>VLOOKUP(B201,tn_2021_result!$A:$D,4,FALSE)</f>
        <v>AIADMK</v>
      </c>
      <c r="G201" s="4" t="str">
        <f t="shared" si="6"/>
        <v>AIADMK</v>
      </c>
      <c r="H201" s="4" t="str">
        <f>VLOOKUP(B201,tn_2026_result!$A:$D,4,FALSE)</f>
        <v>DMK</v>
      </c>
      <c r="I201" s="4" t="str">
        <f t="shared" si="7"/>
        <v>DMK</v>
      </c>
    </row>
    <row r="202" spans="1:9" x14ac:dyDescent="0.3">
      <c r="A202" s="4">
        <v>201</v>
      </c>
      <c r="B202" s="4" t="s">
        <v>225</v>
      </c>
      <c r="C202" s="4" t="s">
        <v>222</v>
      </c>
      <c r="D202" s="4" t="s">
        <v>148</v>
      </c>
      <c r="E202" s="4" t="s">
        <v>8</v>
      </c>
      <c r="F202" s="4" t="str">
        <f>VLOOKUP(B202,tn_2021_result!$A:$D,4,FALSE)</f>
        <v>DMK</v>
      </c>
      <c r="G202" s="4" t="str">
        <f t="shared" si="6"/>
        <v>DMK</v>
      </c>
      <c r="H202" s="4" t="str">
        <f>VLOOKUP(B202,tn_2026_result!$A:$D,4,FALSE)</f>
        <v>TVK</v>
      </c>
      <c r="I202" s="4" t="str">
        <f t="shared" si="7"/>
        <v>TVK</v>
      </c>
    </row>
    <row r="203" spans="1:9" x14ac:dyDescent="0.3">
      <c r="A203" s="4">
        <v>202</v>
      </c>
      <c r="B203" s="4" t="s">
        <v>226</v>
      </c>
      <c r="C203" s="4" t="s">
        <v>227</v>
      </c>
      <c r="D203" s="4" t="s">
        <v>148</v>
      </c>
      <c r="E203" s="4" t="s">
        <v>8</v>
      </c>
      <c r="F203" s="4" t="str">
        <f>VLOOKUP(B203,tn_2021_result!$A:$D,4,FALSE)</f>
        <v>DMK</v>
      </c>
      <c r="G203" s="4" t="str">
        <f t="shared" si="6"/>
        <v>DMK</v>
      </c>
      <c r="H203" s="4" t="str">
        <f>VLOOKUP(B203,tn_2026_result!$A:$D,4,FALSE)</f>
        <v>TVK</v>
      </c>
      <c r="I203" s="4" t="str">
        <f t="shared" si="7"/>
        <v>TVK</v>
      </c>
    </row>
    <row r="204" spans="1:9" x14ac:dyDescent="0.3">
      <c r="A204" s="4">
        <v>203</v>
      </c>
      <c r="B204" s="4" t="s">
        <v>228</v>
      </c>
      <c r="C204" s="4" t="s">
        <v>227</v>
      </c>
      <c r="D204" s="4" t="s">
        <v>148</v>
      </c>
      <c r="E204" s="4" t="s">
        <v>10</v>
      </c>
      <c r="F204" s="4" t="str">
        <f>VLOOKUP(B204,tn_2021_result!$A:$D,4,FALSE)</f>
        <v>AIADMK</v>
      </c>
      <c r="G204" s="4" t="str">
        <f t="shared" si="6"/>
        <v>AIADMK</v>
      </c>
      <c r="H204" s="4" t="str">
        <f>VLOOKUP(B204,tn_2026_result!$A:$D,4,FALSE)</f>
        <v>TVK</v>
      </c>
      <c r="I204" s="4" t="str">
        <f t="shared" si="7"/>
        <v>TVK</v>
      </c>
    </row>
    <row r="205" spans="1:9" x14ac:dyDescent="0.3">
      <c r="A205" s="4">
        <v>204</v>
      </c>
      <c r="B205" s="4" t="s">
        <v>229</v>
      </c>
      <c r="C205" s="4" t="s">
        <v>227</v>
      </c>
      <c r="D205" s="4" t="s">
        <v>148</v>
      </c>
      <c r="E205" s="4" t="s">
        <v>8</v>
      </c>
      <c r="F205" s="4" t="str">
        <f>VLOOKUP(B205,tn_2021_result!$A:$D,4,FALSE)</f>
        <v>DMK</v>
      </c>
      <c r="G205" s="4" t="str">
        <f t="shared" si="6"/>
        <v>DMK</v>
      </c>
      <c r="H205" s="4" t="str">
        <f>VLOOKUP(B205,tn_2026_result!$A:$D,4,FALSE)</f>
        <v>DMK</v>
      </c>
      <c r="I205" s="4" t="str">
        <f t="shared" si="7"/>
        <v>DMK</v>
      </c>
    </row>
    <row r="206" spans="1:9" x14ac:dyDescent="0.3">
      <c r="A206" s="4">
        <v>205</v>
      </c>
      <c r="B206" s="4" t="s">
        <v>230</v>
      </c>
      <c r="C206" s="4" t="s">
        <v>227</v>
      </c>
      <c r="D206" s="4" t="s">
        <v>148</v>
      </c>
      <c r="E206" s="4" t="s">
        <v>8</v>
      </c>
      <c r="F206" s="4" t="str">
        <f>VLOOKUP(B206,tn_2021_result!$A:$D,4,FALSE)</f>
        <v>INC</v>
      </c>
      <c r="G206" s="4" t="str">
        <f t="shared" si="6"/>
        <v>INC</v>
      </c>
      <c r="H206" s="4" t="str">
        <f>VLOOKUP(B206,tn_2026_result!$A:$D,4,FALSE)</f>
        <v>TVK</v>
      </c>
      <c r="I206" s="4" t="str">
        <f t="shared" si="7"/>
        <v>TVK</v>
      </c>
    </row>
    <row r="207" spans="1:9" x14ac:dyDescent="0.3">
      <c r="A207" s="4">
        <v>206</v>
      </c>
      <c r="B207" s="4" t="s">
        <v>227</v>
      </c>
      <c r="C207" s="4" t="s">
        <v>227</v>
      </c>
      <c r="D207" s="4" t="s">
        <v>148</v>
      </c>
      <c r="E207" s="4" t="s">
        <v>8</v>
      </c>
      <c r="F207" s="4" t="str">
        <f>VLOOKUP(B207,tn_2021_result!$A:$D,4,FALSE)</f>
        <v>DMK</v>
      </c>
      <c r="G207" s="4" t="str">
        <f t="shared" si="6"/>
        <v>DMK</v>
      </c>
      <c r="H207" s="4" t="str">
        <f>VLOOKUP(B207,tn_2026_result!$A:$D,4,FALSE)</f>
        <v>TVK</v>
      </c>
      <c r="I207" s="4" t="str">
        <f t="shared" si="7"/>
        <v>TVK</v>
      </c>
    </row>
    <row r="208" spans="1:9" x14ac:dyDescent="0.3">
      <c r="A208" s="4">
        <v>207</v>
      </c>
      <c r="B208" s="4" t="s">
        <v>231</v>
      </c>
      <c r="C208" s="4" t="s">
        <v>227</v>
      </c>
      <c r="D208" s="4" t="s">
        <v>148</v>
      </c>
      <c r="E208" s="4" t="s">
        <v>8</v>
      </c>
      <c r="F208" s="4" t="str">
        <f>VLOOKUP(B208,tn_2021_result!$A:$D,4,FALSE)</f>
        <v>DMK</v>
      </c>
      <c r="G208" s="4" t="str">
        <f t="shared" si="6"/>
        <v>DMK</v>
      </c>
      <c r="H208" s="4" t="str">
        <f>VLOOKUP(B208,tn_2026_result!$A:$D,4,FALSE)</f>
        <v>DMK</v>
      </c>
      <c r="I208" s="4" t="str">
        <f t="shared" si="7"/>
        <v>DMK</v>
      </c>
    </row>
    <row r="209" spans="1:9" x14ac:dyDescent="0.3">
      <c r="A209" s="4">
        <v>208</v>
      </c>
      <c r="B209" s="4" t="s">
        <v>232</v>
      </c>
      <c r="C209" s="4" t="s">
        <v>227</v>
      </c>
      <c r="D209" s="4" t="s">
        <v>148</v>
      </c>
      <c r="E209" s="4" t="s">
        <v>8</v>
      </c>
      <c r="F209" s="4" t="str">
        <f>VLOOKUP(B209,tn_2021_result!$A:$D,4,FALSE)</f>
        <v>DMK</v>
      </c>
      <c r="G209" s="4" t="str">
        <f t="shared" si="6"/>
        <v>DMK</v>
      </c>
      <c r="H209" s="4" t="str">
        <f>VLOOKUP(B209,tn_2026_result!$A:$D,4,FALSE)</f>
        <v>DMK</v>
      </c>
      <c r="I209" s="4" t="str">
        <f t="shared" si="7"/>
        <v>DMK</v>
      </c>
    </row>
    <row r="210" spans="1:9" x14ac:dyDescent="0.3">
      <c r="A210" s="4">
        <v>209</v>
      </c>
      <c r="B210" s="4" t="s">
        <v>233</v>
      </c>
      <c r="C210" s="4" t="s">
        <v>234</v>
      </c>
      <c r="D210" s="4" t="s">
        <v>148</v>
      </c>
      <c r="E210" s="4" t="s">
        <v>10</v>
      </c>
      <c r="F210" s="4" t="str">
        <f>VLOOKUP(B210,tn_2021_result!$A:$D,4,FALSE)</f>
        <v>DMK</v>
      </c>
      <c r="G210" s="4" t="str">
        <f t="shared" si="6"/>
        <v>DMK</v>
      </c>
      <c r="H210" s="4" t="str">
        <f>VLOOKUP(B210,tn_2026_result!$A:$D,4,FALSE)</f>
        <v>DMK</v>
      </c>
      <c r="I210" s="4" t="str">
        <f t="shared" si="7"/>
        <v>DMK</v>
      </c>
    </row>
    <row r="211" spans="1:9" x14ac:dyDescent="0.3">
      <c r="A211" s="4">
        <v>210</v>
      </c>
      <c r="B211" s="4" t="s">
        <v>235</v>
      </c>
      <c r="C211" s="4" t="s">
        <v>234</v>
      </c>
      <c r="D211" s="4" t="s">
        <v>148</v>
      </c>
      <c r="E211" s="4" t="s">
        <v>8</v>
      </c>
      <c r="F211" s="4" t="str">
        <f>VLOOKUP(B211,tn_2021_result!$A:$D,4,FALSE)</f>
        <v>INC</v>
      </c>
      <c r="G211" s="4" t="str">
        <f t="shared" si="6"/>
        <v>INC</v>
      </c>
      <c r="H211" s="4" t="str">
        <f>VLOOKUP(B211,tn_2026_result!$A:$D,4,FALSE)</f>
        <v>TVK</v>
      </c>
      <c r="I211" s="4" t="str">
        <f t="shared" si="7"/>
        <v>TVK</v>
      </c>
    </row>
    <row r="212" spans="1:9" x14ac:dyDescent="0.3">
      <c r="A212" s="4">
        <v>211</v>
      </c>
      <c r="B212" s="4" t="s">
        <v>234</v>
      </c>
      <c r="C212" s="4" t="s">
        <v>234</v>
      </c>
      <c r="D212" s="4" t="s">
        <v>148</v>
      </c>
      <c r="E212" s="4" t="s">
        <v>8</v>
      </c>
      <c r="F212" s="4" t="str">
        <f>VLOOKUP(B212,tn_2021_result!$A:$D,4,FALSE)</f>
        <v>DMK</v>
      </c>
      <c r="G212" s="4" t="str">
        <f t="shared" si="6"/>
        <v>DMK</v>
      </c>
      <c r="H212" s="4" t="str">
        <f>VLOOKUP(B212,tn_2026_result!$A:$D,4,FALSE)</f>
        <v>DMK</v>
      </c>
      <c r="I212" s="4" t="str">
        <f t="shared" si="7"/>
        <v>DMK</v>
      </c>
    </row>
    <row r="213" spans="1:9" x14ac:dyDescent="0.3">
      <c r="A213" s="4">
        <v>212</v>
      </c>
      <c r="B213" s="4" t="s">
        <v>236</v>
      </c>
      <c r="C213" s="4" t="s">
        <v>234</v>
      </c>
      <c r="D213" s="4" t="s">
        <v>148</v>
      </c>
      <c r="E213" s="4" t="s">
        <v>8</v>
      </c>
      <c r="F213" s="4" t="str">
        <f>VLOOKUP(B213,tn_2021_result!$A:$D,4,FALSE)</f>
        <v>DMK</v>
      </c>
      <c r="G213" s="4" t="str">
        <f t="shared" si="6"/>
        <v>DMK</v>
      </c>
      <c r="H213" s="4" t="str">
        <f>VLOOKUP(B213,tn_2026_result!$A:$D,4,FALSE)</f>
        <v>DMK</v>
      </c>
      <c r="I213" s="4" t="str">
        <f t="shared" si="7"/>
        <v>DMK</v>
      </c>
    </row>
    <row r="214" spans="1:9" x14ac:dyDescent="0.3">
      <c r="A214" s="4">
        <v>213</v>
      </c>
      <c r="B214" s="4" t="s">
        <v>237</v>
      </c>
      <c r="C214" s="4" t="s">
        <v>238</v>
      </c>
      <c r="D214" s="4" t="s">
        <v>148</v>
      </c>
      <c r="E214" s="4" t="s">
        <v>8</v>
      </c>
      <c r="F214" s="4" t="str">
        <f>VLOOKUP(B214,tn_2021_result!$A:$D,4,FALSE)</f>
        <v>DMK</v>
      </c>
      <c r="G214" s="4" t="str">
        <f t="shared" si="6"/>
        <v>DMK</v>
      </c>
      <c r="H214" s="4" t="str">
        <f>VLOOKUP(B214,tn_2026_result!$A:$D,4,FALSE)</f>
        <v>DMK</v>
      </c>
      <c r="I214" s="4" t="str">
        <f t="shared" si="7"/>
        <v>DMK</v>
      </c>
    </row>
    <row r="215" spans="1:9" x14ac:dyDescent="0.3">
      <c r="A215" s="4">
        <v>214</v>
      </c>
      <c r="B215" s="4" t="s">
        <v>239</v>
      </c>
      <c r="C215" s="4" t="s">
        <v>238</v>
      </c>
      <c r="D215" s="4" t="s">
        <v>148</v>
      </c>
      <c r="E215" s="4" t="s">
        <v>8</v>
      </c>
      <c r="F215" s="4" t="str">
        <f>VLOOKUP(B215,tn_2021_result!$A:$D,4,FALSE)</f>
        <v>DMK</v>
      </c>
      <c r="G215" s="4" t="str">
        <f t="shared" si="6"/>
        <v>DMK</v>
      </c>
      <c r="H215" s="4" t="str">
        <f>VLOOKUP(B215,tn_2026_result!$A:$D,4,FALSE)</f>
        <v>TVK</v>
      </c>
      <c r="I215" s="4" t="str">
        <f t="shared" si="7"/>
        <v>TVK</v>
      </c>
    </row>
    <row r="216" spans="1:9" x14ac:dyDescent="0.3">
      <c r="A216" s="4">
        <v>215</v>
      </c>
      <c r="B216" s="4" t="s">
        <v>240</v>
      </c>
      <c r="C216" s="4" t="s">
        <v>238</v>
      </c>
      <c r="D216" s="4" t="s">
        <v>148</v>
      </c>
      <c r="E216" s="4" t="s">
        <v>8</v>
      </c>
      <c r="F216" s="4" t="str">
        <f>VLOOKUP(B216,tn_2021_result!$A:$D,4,FALSE)</f>
        <v>DMK</v>
      </c>
      <c r="G216" s="4" t="str">
        <f t="shared" si="6"/>
        <v>DMK</v>
      </c>
      <c r="H216" s="4" t="str">
        <f>VLOOKUP(B216,tn_2026_result!$A:$D,4,FALSE)</f>
        <v>DMK</v>
      </c>
      <c r="I216" s="4" t="str">
        <f t="shared" si="7"/>
        <v>DMK</v>
      </c>
    </row>
    <row r="217" spans="1:9" x14ac:dyDescent="0.3">
      <c r="A217" s="4">
        <v>216</v>
      </c>
      <c r="B217" s="4" t="s">
        <v>241</v>
      </c>
      <c r="C217" s="4" t="s">
        <v>238</v>
      </c>
      <c r="D217" s="4" t="s">
        <v>148</v>
      </c>
      <c r="E217" s="4" t="s">
        <v>8</v>
      </c>
      <c r="F217" s="4" t="str">
        <f>VLOOKUP(B217,tn_2021_result!$A:$D,4,FALSE)</f>
        <v>INC</v>
      </c>
      <c r="G217" s="4" t="str">
        <f t="shared" si="6"/>
        <v>INC</v>
      </c>
      <c r="H217" s="4" t="str">
        <f>VLOOKUP(B217,tn_2026_result!$A:$D,4,FALSE)</f>
        <v>TVK</v>
      </c>
      <c r="I217" s="4" t="str">
        <f t="shared" si="7"/>
        <v>TVK</v>
      </c>
    </row>
    <row r="218" spans="1:9" x14ac:dyDescent="0.3">
      <c r="A218" s="4">
        <v>217</v>
      </c>
      <c r="B218" s="4" t="s">
        <v>242</v>
      </c>
      <c r="C218" s="4" t="s">
        <v>238</v>
      </c>
      <c r="D218" s="4" t="s">
        <v>148</v>
      </c>
      <c r="E218" s="4" t="s">
        <v>10</v>
      </c>
      <c r="F218" s="4" t="str">
        <f>VLOOKUP(B218,tn_2021_result!$A:$D,4,FALSE)</f>
        <v>DMK</v>
      </c>
      <c r="G218" s="4" t="str">
        <f t="shared" si="6"/>
        <v>DMK</v>
      </c>
      <c r="H218" s="4" t="str">
        <f>VLOOKUP(B218,tn_2026_result!$A:$D,4,FALSE)</f>
        <v>TVK</v>
      </c>
      <c r="I218" s="4" t="str">
        <f t="shared" si="7"/>
        <v>TVK</v>
      </c>
    </row>
    <row r="219" spans="1:9" x14ac:dyDescent="0.3">
      <c r="A219" s="4">
        <v>218</v>
      </c>
      <c r="B219" s="4" t="s">
        <v>243</v>
      </c>
      <c r="C219" s="4" t="s">
        <v>238</v>
      </c>
      <c r="D219" s="4" t="s">
        <v>148</v>
      </c>
      <c r="E219" s="4" t="s">
        <v>8</v>
      </c>
      <c r="F219" s="4" t="str">
        <f>VLOOKUP(B219,tn_2021_result!$A:$D,4,FALSE)</f>
        <v>AIADMK</v>
      </c>
      <c r="G219" s="4" t="str">
        <f t="shared" si="6"/>
        <v>AIADMK</v>
      </c>
      <c r="H219" s="4" t="str">
        <f>VLOOKUP(B219,tn_2026_result!$A:$D,4,FALSE)</f>
        <v>DMK</v>
      </c>
      <c r="I219" s="4" t="str">
        <f t="shared" si="7"/>
        <v>DMK</v>
      </c>
    </row>
    <row r="220" spans="1:9" x14ac:dyDescent="0.3">
      <c r="A220" s="4">
        <v>219</v>
      </c>
      <c r="B220" s="4" t="s">
        <v>244</v>
      </c>
      <c r="C220" s="4" t="s">
        <v>245</v>
      </c>
      <c r="D220" s="4" t="s">
        <v>148</v>
      </c>
      <c r="E220" s="4" t="s">
        <v>10</v>
      </c>
      <c r="F220" s="4" t="str">
        <f>VLOOKUP(B220,tn_2021_result!$A:$D,4,FALSE)</f>
        <v>DMK</v>
      </c>
      <c r="G220" s="4" t="str">
        <f t="shared" si="6"/>
        <v>DMK</v>
      </c>
      <c r="H220" s="4" t="str">
        <f>VLOOKUP(B220,tn_2026_result!$A:$D,4,FALSE)</f>
        <v>AIADMK</v>
      </c>
      <c r="I220" s="4" t="str">
        <f t="shared" si="7"/>
        <v>AIADMK</v>
      </c>
    </row>
    <row r="221" spans="1:9" x14ac:dyDescent="0.3">
      <c r="A221" s="4">
        <v>220</v>
      </c>
      <c r="B221" s="4" t="s">
        <v>246</v>
      </c>
      <c r="C221" s="4" t="s">
        <v>245</v>
      </c>
      <c r="D221" s="4" t="s">
        <v>148</v>
      </c>
      <c r="E221" s="4" t="s">
        <v>10</v>
      </c>
      <c r="F221" s="4" t="str">
        <f>VLOOKUP(B221,tn_2021_result!$A:$D,4,FALSE)</f>
        <v>DMK</v>
      </c>
      <c r="G221" s="4" t="str">
        <f t="shared" si="6"/>
        <v>DMK</v>
      </c>
      <c r="H221" s="4" t="str">
        <f>VLOOKUP(B221,tn_2026_result!$A:$D,4,FALSE)</f>
        <v>DMK</v>
      </c>
      <c r="I221" s="4" t="str">
        <f t="shared" si="7"/>
        <v>DMK</v>
      </c>
    </row>
    <row r="222" spans="1:9" x14ac:dyDescent="0.3">
      <c r="A222" s="4">
        <v>221</v>
      </c>
      <c r="B222" s="4" t="s">
        <v>247</v>
      </c>
      <c r="C222" s="4" t="s">
        <v>245</v>
      </c>
      <c r="D222" s="4" t="s">
        <v>148</v>
      </c>
      <c r="E222" s="4" t="s">
        <v>8</v>
      </c>
      <c r="F222" s="4" t="str">
        <f>VLOOKUP(B222,tn_2021_result!$A:$D,4,FALSE)</f>
        <v>AIADMK</v>
      </c>
      <c r="G222" s="4" t="str">
        <f t="shared" si="6"/>
        <v>AIADMK</v>
      </c>
      <c r="H222" s="4" t="str">
        <f>VLOOKUP(B222,tn_2026_result!$A:$D,4,FALSE)</f>
        <v>DMK</v>
      </c>
      <c r="I222" s="4" t="str">
        <f t="shared" si="7"/>
        <v>DMK</v>
      </c>
    </row>
    <row r="223" spans="1:9" x14ac:dyDescent="0.3">
      <c r="A223" s="4">
        <v>222</v>
      </c>
      <c r="B223" s="4" t="s">
        <v>248</v>
      </c>
      <c r="C223" s="4" t="s">
        <v>245</v>
      </c>
      <c r="D223" s="4" t="s">
        <v>148</v>
      </c>
      <c r="E223" s="4" t="s">
        <v>8</v>
      </c>
      <c r="F223" s="4" t="str">
        <f>VLOOKUP(B223,tn_2021_result!$A:$D,4,FALSE)</f>
        <v>INC</v>
      </c>
      <c r="G223" s="4" t="str">
        <f t="shared" si="6"/>
        <v>INC</v>
      </c>
      <c r="H223" s="4" t="str">
        <f>VLOOKUP(B223,tn_2026_result!$A:$D,4,FALSE)</f>
        <v>DMK</v>
      </c>
      <c r="I223" s="4" t="str">
        <f t="shared" si="7"/>
        <v>DMK</v>
      </c>
    </row>
    <row r="224" spans="1:9" x14ac:dyDescent="0.3">
      <c r="A224" s="4">
        <v>223</v>
      </c>
      <c r="B224" s="4" t="s">
        <v>249</v>
      </c>
      <c r="C224" s="4" t="s">
        <v>245</v>
      </c>
      <c r="D224" s="4" t="s">
        <v>148</v>
      </c>
      <c r="E224" s="4" t="s">
        <v>8</v>
      </c>
      <c r="F224" s="4" t="str">
        <f>VLOOKUP(B224,tn_2021_result!$A:$D,4,FALSE)</f>
        <v>AIADMK</v>
      </c>
      <c r="G224" s="4" t="str">
        <f t="shared" si="6"/>
        <v>AIADMK</v>
      </c>
      <c r="H224" s="4" t="str">
        <f>VLOOKUP(B224,tn_2026_result!$A:$D,4,FALSE)</f>
        <v>DMK</v>
      </c>
      <c r="I224" s="4" t="str">
        <f t="shared" si="7"/>
        <v>DMK</v>
      </c>
    </row>
    <row r="225" spans="1:9" x14ac:dyDescent="0.3">
      <c r="A225" s="4">
        <v>224</v>
      </c>
      <c r="B225" s="4" t="s">
        <v>245</v>
      </c>
      <c r="C225" s="4" t="s">
        <v>245</v>
      </c>
      <c r="D225" s="4" t="s">
        <v>148</v>
      </c>
      <c r="E225" s="4" t="s">
        <v>8</v>
      </c>
      <c r="F225" s="4" t="str">
        <f>VLOOKUP(B225,tn_2021_result!$A:$D,4,FALSE)</f>
        <v>BJP</v>
      </c>
      <c r="G225" s="4" t="str">
        <f t="shared" si="6"/>
        <v>Others</v>
      </c>
      <c r="H225" s="4" t="str">
        <f>VLOOKUP(B225,tn_2026_result!$A:$D,4,FALSE)</f>
        <v>TVK</v>
      </c>
      <c r="I225" s="4" t="str">
        <f t="shared" si="7"/>
        <v>TVK</v>
      </c>
    </row>
    <row r="226" spans="1:9" x14ac:dyDescent="0.3">
      <c r="A226" s="4">
        <v>225</v>
      </c>
      <c r="B226" s="4" t="s">
        <v>250</v>
      </c>
      <c r="C226" s="4" t="s">
        <v>245</v>
      </c>
      <c r="D226" s="4" t="s">
        <v>148</v>
      </c>
      <c r="E226" s="4" t="s">
        <v>8</v>
      </c>
      <c r="F226" s="4" t="str">
        <f>VLOOKUP(B226,tn_2021_result!$A:$D,4,FALSE)</f>
        <v>AIADMK</v>
      </c>
      <c r="G226" s="4" t="str">
        <f t="shared" si="6"/>
        <v>AIADMK</v>
      </c>
      <c r="H226" s="4" t="str">
        <f>VLOOKUP(B226,tn_2026_result!$A:$D,4,FALSE)</f>
        <v>AIADMK</v>
      </c>
      <c r="I226" s="4" t="str">
        <f t="shared" si="7"/>
        <v>AIADMK</v>
      </c>
    </row>
    <row r="227" spans="1:9" x14ac:dyDescent="0.3">
      <c r="A227" s="4">
        <v>226</v>
      </c>
      <c r="B227" s="4" t="s">
        <v>251</v>
      </c>
      <c r="C227" s="4" t="s">
        <v>245</v>
      </c>
      <c r="D227" s="4" t="s">
        <v>148</v>
      </c>
      <c r="E227" s="4" t="s">
        <v>8</v>
      </c>
      <c r="F227" s="4" t="str">
        <f>VLOOKUP(B227,tn_2021_result!$A:$D,4,FALSE)</f>
        <v>DMK</v>
      </c>
      <c r="G227" s="4" t="str">
        <f t="shared" si="6"/>
        <v>DMK</v>
      </c>
      <c r="H227" s="4" t="str">
        <f>VLOOKUP(B227,tn_2026_result!$A:$D,4,FALSE)</f>
        <v>DMK</v>
      </c>
      <c r="I227" s="4" t="str">
        <f t="shared" si="7"/>
        <v>DMK</v>
      </c>
    </row>
    <row r="228" spans="1:9" x14ac:dyDescent="0.3">
      <c r="A228" s="4">
        <v>227</v>
      </c>
      <c r="B228" s="4" t="s">
        <v>252</v>
      </c>
      <c r="C228" s="4" t="s">
        <v>245</v>
      </c>
      <c r="D228" s="4" t="s">
        <v>148</v>
      </c>
      <c r="E228" s="4" t="s">
        <v>8</v>
      </c>
      <c r="F228" s="4" t="str">
        <f>VLOOKUP(B228,tn_2021_result!$A:$D,4,FALSE)</f>
        <v>INC</v>
      </c>
      <c r="G228" s="4" t="str">
        <f t="shared" si="6"/>
        <v>INC</v>
      </c>
      <c r="H228" s="4" t="str">
        <f>VLOOKUP(B228,tn_2026_result!$A:$D,4,FALSE)</f>
        <v>TVK</v>
      </c>
      <c r="I228" s="4" t="str">
        <f t="shared" si="7"/>
        <v>TVK</v>
      </c>
    </row>
    <row r="229" spans="1:9" x14ac:dyDescent="0.3">
      <c r="A229" s="4">
        <v>228</v>
      </c>
      <c r="B229" s="4" t="s">
        <v>253</v>
      </c>
      <c r="C229" s="4" t="s">
        <v>245</v>
      </c>
      <c r="D229" s="4" t="s">
        <v>148</v>
      </c>
      <c r="E229" s="4" t="s">
        <v>8</v>
      </c>
      <c r="F229" s="4" t="str">
        <f>VLOOKUP(B229,tn_2021_result!$A:$D,4,FALSE)</f>
        <v>DMK</v>
      </c>
      <c r="G229" s="4" t="str">
        <f t="shared" si="6"/>
        <v>DMK</v>
      </c>
      <c r="H229" s="4" t="str">
        <f>VLOOKUP(B229,tn_2026_result!$A:$D,4,FALSE)</f>
        <v>TVK</v>
      </c>
      <c r="I229" s="4" t="str">
        <f t="shared" si="7"/>
        <v>TVK</v>
      </c>
    </row>
    <row r="230" spans="1:9" x14ac:dyDescent="0.3">
      <c r="A230" s="4">
        <v>229</v>
      </c>
      <c r="B230" s="4" t="s">
        <v>254</v>
      </c>
      <c r="C230" s="4" t="s">
        <v>254</v>
      </c>
      <c r="D230" s="4" t="s">
        <v>148</v>
      </c>
      <c r="E230" s="4" t="s">
        <v>8</v>
      </c>
      <c r="F230" s="4" t="str">
        <f>VLOOKUP(B230,tn_2021_result!$A:$D,4,FALSE)</f>
        <v>AIADMK</v>
      </c>
      <c r="G230" s="4" t="str">
        <f t="shared" si="6"/>
        <v>AIADMK</v>
      </c>
      <c r="H230" s="4" t="str">
        <f>VLOOKUP(B230,tn_2026_result!$A:$D,4,FALSE)</f>
        <v>AIADMK</v>
      </c>
      <c r="I230" s="4" t="str">
        <f t="shared" si="7"/>
        <v>AIADMK</v>
      </c>
    </row>
    <row r="231" spans="1:9" x14ac:dyDescent="0.3">
      <c r="A231" s="4">
        <v>230</v>
      </c>
      <c r="B231" s="4" t="s">
        <v>255</v>
      </c>
      <c r="C231" s="4" t="s">
        <v>254</v>
      </c>
      <c r="D231" s="4" t="s">
        <v>148</v>
      </c>
      <c r="E231" s="4" t="s">
        <v>8</v>
      </c>
      <c r="F231" s="4" t="str">
        <f>VLOOKUP(B231,tn_2021_result!$A:$D,4,FALSE)</f>
        <v>BJP</v>
      </c>
      <c r="G231" s="4" t="str">
        <f t="shared" si="6"/>
        <v>Others</v>
      </c>
      <c r="H231" s="4" t="str">
        <f>VLOOKUP(B231,tn_2026_result!$A:$D,4,FALSE)</f>
        <v>DMK</v>
      </c>
      <c r="I231" s="4" t="str">
        <f t="shared" si="7"/>
        <v>DMK</v>
      </c>
    </row>
    <row r="232" spans="1:9" x14ac:dyDescent="0.3">
      <c r="A232" s="4">
        <v>231</v>
      </c>
      <c r="B232" s="4" t="s">
        <v>256</v>
      </c>
      <c r="C232" s="4" t="s">
        <v>254</v>
      </c>
      <c r="D232" s="4" t="s">
        <v>148</v>
      </c>
      <c r="E232" s="4" t="s">
        <v>8</v>
      </c>
      <c r="F232" s="4" t="str">
        <f>VLOOKUP(B232,tn_2021_result!$A:$D,4,FALSE)</f>
        <v>INC</v>
      </c>
      <c r="G232" s="4" t="str">
        <f t="shared" si="6"/>
        <v>INC</v>
      </c>
      <c r="H232" s="4" t="str">
        <f>VLOOKUP(B232,tn_2026_result!$A:$D,4,FALSE)</f>
        <v>INC</v>
      </c>
      <c r="I232" s="4" t="str">
        <f t="shared" si="7"/>
        <v>INC</v>
      </c>
    </row>
    <row r="233" spans="1:9" x14ac:dyDescent="0.3">
      <c r="A233" s="4">
        <v>232</v>
      </c>
      <c r="B233" s="4" t="s">
        <v>257</v>
      </c>
      <c r="C233" s="4" t="s">
        <v>254</v>
      </c>
      <c r="D233" s="4" t="s">
        <v>148</v>
      </c>
      <c r="E233" s="4" t="s">
        <v>8</v>
      </c>
      <c r="F233" s="4" t="str">
        <f>VLOOKUP(B233,tn_2021_result!$A:$D,4,FALSE)</f>
        <v>DMK</v>
      </c>
      <c r="G233" s="4" t="str">
        <f t="shared" si="6"/>
        <v>DMK</v>
      </c>
      <c r="H233" s="4" t="str">
        <f>VLOOKUP(B233,tn_2026_result!$A:$D,4,FALSE)</f>
        <v>CPI(M)</v>
      </c>
      <c r="I233" s="4" t="str">
        <f t="shared" si="7"/>
        <v>Others</v>
      </c>
    </row>
    <row r="234" spans="1:9" x14ac:dyDescent="0.3">
      <c r="A234" s="4">
        <v>233</v>
      </c>
      <c r="B234" s="4" t="s">
        <v>258</v>
      </c>
      <c r="C234" s="4" t="s">
        <v>254</v>
      </c>
      <c r="D234" s="4" t="s">
        <v>148</v>
      </c>
      <c r="E234" s="4" t="s">
        <v>8</v>
      </c>
      <c r="F234" s="4" t="str">
        <f>VLOOKUP(B234,tn_2021_result!$A:$D,4,FALSE)</f>
        <v>INC</v>
      </c>
      <c r="G234" s="4" t="str">
        <f t="shared" si="6"/>
        <v>INC</v>
      </c>
      <c r="H234" s="4" t="str">
        <f>VLOOKUP(B234,tn_2026_result!$A:$D,4,FALSE)</f>
        <v>INC</v>
      </c>
      <c r="I234" s="4" t="str">
        <f t="shared" si="7"/>
        <v>INC</v>
      </c>
    </row>
    <row r="235" spans="1:9" x14ac:dyDescent="0.3">
      <c r="A235" s="4">
        <v>234</v>
      </c>
      <c r="B235" s="4" t="s">
        <v>259</v>
      </c>
      <c r="C235" s="4" t="s">
        <v>254</v>
      </c>
      <c r="D235" s="4" t="s">
        <v>148</v>
      </c>
      <c r="E235" s="4" t="s">
        <v>8</v>
      </c>
      <c r="F235" s="4" t="str">
        <f>VLOOKUP(B235,tn_2021_result!$A:$D,4,FALSE)</f>
        <v>INC</v>
      </c>
      <c r="G235" s="4" t="str">
        <f t="shared" si="6"/>
        <v>INC</v>
      </c>
      <c r="H235" s="4" t="str">
        <f>VLOOKUP(B235,tn_2026_result!$A:$D,4,FALSE)</f>
        <v>INC</v>
      </c>
      <c r="I235" s="4" t="str">
        <f t="shared" si="7"/>
        <v>INC</v>
      </c>
    </row>
  </sheetData>
  <pageMargins left="0.7" right="0.7" top="0.75" bottom="0.75" header="0.3" footer="0.3"/>
  <ignoredErrors>
    <ignoredError sqref="H2:H235" formula="1"/>
  </ignoredError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D609E-D16E-4E8D-A19A-6376B84B756E}">
  <dimension ref="A1:H234"/>
  <sheetViews>
    <sheetView showGridLines="0" workbookViewId="0">
      <selection activeCell="K9" sqref="K9"/>
    </sheetView>
  </sheetViews>
  <sheetFormatPr defaultRowHeight="14.4" x14ac:dyDescent="0.3"/>
  <cols>
    <col min="1" max="1" width="21.44140625" bestFit="1" customWidth="1"/>
    <col min="2" max="2" width="12.33203125" bestFit="1" customWidth="1"/>
    <col min="3" max="3" width="35.33203125" bestFit="1" customWidth="1"/>
    <col min="4" max="5" width="7.6640625" bestFit="1" customWidth="1"/>
    <col min="6" max="6" width="9.33203125" bestFit="1" customWidth="1"/>
    <col min="7" max="7" width="10.21875" bestFit="1" customWidth="1"/>
    <col min="8" max="8" width="13.21875" bestFit="1" customWidth="1"/>
  </cols>
  <sheetData>
    <row r="1" spans="1:8" x14ac:dyDescent="0.3">
      <c r="A1" s="5" t="s">
        <v>1</v>
      </c>
      <c r="B1" s="5" t="s">
        <v>0</v>
      </c>
      <c r="C1" s="5" t="s">
        <v>262</v>
      </c>
      <c r="D1" s="5" t="s">
        <v>263</v>
      </c>
      <c r="E1" s="5" t="s">
        <v>264</v>
      </c>
      <c r="F1" s="5" t="s">
        <v>265</v>
      </c>
      <c r="G1" s="5" t="s">
        <v>4</v>
      </c>
      <c r="H1" s="5" t="s">
        <v>3</v>
      </c>
    </row>
    <row r="2" spans="1:8" x14ac:dyDescent="0.3">
      <c r="A2" s="4" t="s">
        <v>5</v>
      </c>
      <c r="B2" s="4">
        <v>1</v>
      </c>
      <c r="C2" s="4" t="s">
        <v>266</v>
      </c>
      <c r="D2" s="4" t="s">
        <v>267</v>
      </c>
      <c r="E2" s="4">
        <v>126452</v>
      </c>
      <c r="F2" s="4">
        <v>78.08</v>
      </c>
      <c r="G2" s="4" t="s">
        <v>8</v>
      </c>
      <c r="H2" s="4" t="s">
        <v>7</v>
      </c>
    </row>
    <row r="3" spans="1:8" x14ac:dyDescent="0.3">
      <c r="A3" s="4" t="s">
        <v>9</v>
      </c>
      <c r="B3" s="4">
        <v>2</v>
      </c>
      <c r="C3" s="4" t="s">
        <v>270</v>
      </c>
      <c r="D3" s="4" t="s">
        <v>271</v>
      </c>
      <c r="E3" s="4">
        <v>94528</v>
      </c>
      <c r="F3" s="4">
        <v>78.2</v>
      </c>
      <c r="G3" s="4" t="s">
        <v>10</v>
      </c>
      <c r="H3" s="4" t="s">
        <v>7</v>
      </c>
    </row>
    <row r="4" spans="1:8" x14ac:dyDescent="0.3">
      <c r="A4" s="4" t="s">
        <v>11</v>
      </c>
      <c r="B4" s="4">
        <v>3</v>
      </c>
      <c r="C4" s="4" t="s">
        <v>274</v>
      </c>
      <c r="D4" s="4" t="s">
        <v>267</v>
      </c>
      <c r="E4" s="4">
        <v>120314</v>
      </c>
      <c r="F4" s="4">
        <v>78.760000000000005</v>
      </c>
      <c r="G4" s="4" t="s">
        <v>8</v>
      </c>
      <c r="H4" s="4" t="s">
        <v>7</v>
      </c>
    </row>
    <row r="5" spans="1:8" x14ac:dyDescent="0.3">
      <c r="A5" s="4" t="s">
        <v>12</v>
      </c>
      <c r="B5" s="4">
        <v>4</v>
      </c>
      <c r="C5" s="4" t="s">
        <v>275</v>
      </c>
      <c r="D5" s="4" t="s">
        <v>267</v>
      </c>
      <c r="E5" s="4">
        <v>107709</v>
      </c>
      <c r="F5" s="4">
        <v>77.2</v>
      </c>
      <c r="G5" s="4" t="s">
        <v>8</v>
      </c>
      <c r="H5" s="4" t="s">
        <v>7</v>
      </c>
    </row>
    <row r="6" spans="1:8" x14ac:dyDescent="0.3">
      <c r="A6" s="4" t="s">
        <v>13</v>
      </c>
      <c r="B6" s="4">
        <v>5</v>
      </c>
      <c r="C6" s="4" t="s">
        <v>276</v>
      </c>
      <c r="D6" s="4" t="s">
        <v>267</v>
      </c>
      <c r="E6" s="4">
        <v>149578</v>
      </c>
      <c r="F6" s="4">
        <v>72.989999999999995</v>
      </c>
      <c r="G6" s="4" t="s">
        <v>10</v>
      </c>
      <c r="H6" s="4" t="s">
        <v>7</v>
      </c>
    </row>
    <row r="7" spans="1:8" x14ac:dyDescent="0.3">
      <c r="A7" s="4" t="s">
        <v>14</v>
      </c>
      <c r="B7" s="4">
        <v>6</v>
      </c>
      <c r="C7" s="4" t="s">
        <v>277</v>
      </c>
      <c r="D7" s="4" t="s">
        <v>267</v>
      </c>
      <c r="E7" s="4">
        <v>150287</v>
      </c>
      <c r="F7" s="4">
        <v>67.37</v>
      </c>
      <c r="G7" s="4" t="s">
        <v>8</v>
      </c>
      <c r="H7" s="4" t="s">
        <v>7</v>
      </c>
    </row>
    <row r="8" spans="1:8" x14ac:dyDescent="0.3">
      <c r="A8" s="4" t="s">
        <v>15</v>
      </c>
      <c r="B8" s="4">
        <v>7</v>
      </c>
      <c r="C8" s="4" t="s">
        <v>278</v>
      </c>
      <c r="D8" s="4" t="s">
        <v>267</v>
      </c>
      <c r="E8" s="4">
        <v>121298</v>
      </c>
      <c r="F8" s="4">
        <v>60.3</v>
      </c>
      <c r="G8" s="4" t="s">
        <v>8</v>
      </c>
      <c r="H8" s="4" t="s">
        <v>7</v>
      </c>
    </row>
    <row r="9" spans="1:8" x14ac:dyDescent="0.3">
      <c r="A9" s="4" t="s">
        <v>16</v>
      </c>
      <c r="B9" s="4">
        <v>8</v>
      </c>
      <c r="C9" s="4" t="s">
        <v>279</v>
      </c>
      <c r="D9" s="4" t="s">
        <v>267</v>
      </c>
      <c r="E9" s="4">
        <v>114554</v>
      </c>
      <c r="F9" s="4">
        <v>62.01</v>
      </c>
      <c r="G9" s="4" t="s">
        <v>8</v>
      </c>
      <c r="H9" s="4" t="s">
        <v>7</v>
      </c>
    </row>
    <row r="10" spans="1:8" x14ac:dyDescent="0.3">
      <c r="A10" s="4" t="s">
        <v>17</v>
      </c>
      <c r="B10" s="4">
        <v>9</v>
      </c>
      <c r="C10" s="4" t="s">
        <v>280</v>
      </c>
      <c r="D10" s="4" t="s">
        <v>267</v>
      </c>
      <c r="E10" s="4">
        <v>151485</v>
      </c>
      <c r="F10" s="4">
        <v>66.37</v>
      </c>
      <c r="G10" s="4" t="s">
        <v>8</v>
      </c>
      <c r="H10" s="4" t="s">
        <v>7</v>
      </c>
    </row>
    <row r="11" spans="1:8" x14ac:dyDescent="0.3">
      <c r="A11" s="4" t="s">
        <v>18</v>
      </c>
      <c r="B11" s="4">
        <v>10</v>
      </c>
      <c r="C11" s="4" t="s">
        <v>282</v>
      </c>
      <c r="D11" s="4" t="s">
        <v>267</v>
      </c>
      <c r="E11" s="4">
        <v>88185</v>
      </c>
      <c r="F11" s="4">
        <v>65.150000000000006</v>
      </c>
      <c r="G11" s="4" t="s">
        <v>8</v>
      </c>
      <c r="H11" s="4" t="s">
        <v>7</v>
      </c>
    </row>
    <row r="12" spans="1:8" x14ac:dyDescent="0.3">
      <c r="A12" s="4" t="s">
        <v>19</v>
      </c>
      <c r="B12" s="4">
        <v>11</v>
      </c>
      <c r="C12" s="4" t="s">
        <v>283</v>
      </c>
      <c r="D12" s="4" t="s">
        <v>267</v>
      </c>
      <c r="E12" s="4">
        <v>95763</v>
      </c>
      <c r="F12" s="4">
        <v>70.98</v>
      </c>
      <c r="G12" s="4" t="s">
        <v>8</v>
      </c>
      <c r="H12" s="4" t="s">
        <v>7</v>
      </c>
    </row>
    <row r="13" spans="1:8" x14ac:dyDescent="0.3">
      <c r="A13" s="4" t="s">
        <v>21</v>
      </c>
      <c r="B13" s="4">
        <v>12</v>
      </c>
      <c r="C13" s="4" t="s">
        <v>284</v>
      </c>
      <c r="D13" s="4" t="s">
        <v>267</v>
      </c>
      <c r="E13" s="4">
        <v>105267</v>
      </c>
      <c r="F13" s="4">
        <v>63</v>
      </c>
      <c r="G13" s="4" t="s">
        <v>8</v>
      </c>
      <c r="H13" s="4" t="s">
        <v>7</v>
      </c>
    </row>
    <row r="14" spans="1:8" x14ac:dyDescent="0.3">
      <c r="A14" s="4" t="s">
        <v>22</v>
      </c>
      <c r="B14" s="4">
        <v>13</v>
      </c>
      <c r="C14" s="4" t="s">
        <v>286</v>
      </c>
      <c r="D14" s="4" t="s">
        <v>267</v>
      </c>
      <c r="E14" s="4">
        <v>105522</v>
      </c>
      <c r="F14" s="4">
        <v>61.04</v>
      </c>
      <c r="G14" s="4" t="s">
        <v>8</v>
      </c>
      <c r="H14" s="4" t="s">
        <v>7</v>
      </c>
    </row>
    <row r="15" spans="1:8" x14ac:dyDescent="0.3">
      <c r="A15" s="4" t="s">
        <v>23</v>
      </c>
      <c r="B15" s="4">
        <v>14</v>
      </c>
      <c r="C15" s="4" t="s">
        <v>287</v>
      </c>
      <c r="D15" s="4" t="s">
        <v>267</v>
      </c>
      <c r="E15" s="4">
        <v>76127</v>
      </c>
      <c r="F15" s="4">
        <v>55.92</v>
      </c>
      <c r="G15" s="4" t="s">
        <v>8</v>
      </c>
      <c r="H15" s="4" t="s">
        <v>7</v>
      </c>
    </row>
    <row r="16" spans="1:8" x14ac:dyDescent="0.3">
      <c r="A16" s="4" t="s">
        <v>24</v>
      </c>
      <c r="B16" s="4">
        <v>15</v>
      </c>
      <c r="C16" s="4" t="s">
        <v>288</v>
      </c>
      <c r="D16" s="4" t="s">
        <v>267</v>
      </c>
      <c r="E16" s="4">
        <v>81727</v>
      </c>
      <c r="F16" s="4">
        <v>60.62</v>
      </c>
      <c r="G16" s="4" t="s">
        <v>10</v>
      </c>
      <c r="H16" s="4" t="s">
        <v>7</v>
      </c>
    </row>
    <row r="17" spans="1:8" x14ac:dyDescent="0.3">
      <c r="A17" s="4" t="s">
        <v>25</v>
      </c>
      <c r="B17" s="4">
        <v>16</v>
      </c>
      <c r="C17" s="4" t="s">
        <v>289</v>
      </c>
      <c r="D17" s="4" t="s">
        <v>267</v>
      </c>
      <c r="E17" s="4">
        <v>68832</v>
      </c>
      <c r="F17" s="4">
        <v>61.13</v>
      </c>
      <c r="G17" s="4" t="s">
        <v>10</v>
      </c>
      <c r="H17" s="4" t="s">
        <v>7</v>
      </c>
    </row>
    <row r="18" spans="1:8" x14ac:dyDescent="0.3">
      <c r="A18" s="4" t="s">
        <v>26</v>
      </c>
      <c r="B18" s="4">
        <v>17</v>
      </c>
      <c r="C18" s="4" t="s">
        <v>290</v>
      </c>
      <c r="D18" s="4" t="s">
        <v>267</v>
      </c>
      <c r="E18" s="4">
        <v>64424</v>
      </c>
      <c r="F18" s="4">
        <v>62.6</v>
      </c>
      <c r="G18" s="4" t="s">
        <v>8</v>
      </c>
      <c r="H18" s="4" t="s">
        <v>7</v>
      </c>
    </row>
    <row r="19" spans="1:8" x14ac:dyDescent="0.3">
      <c r="A19" s="4" t="s">
        <v>27</v>
      </c>
      <c r="B19" s="4">
        <v>18</v>
      </c>
      <c r="C19" s="4" t="s">
        <v>292</v>
      </c>
      <c r="D19" s="4" t="s">
        <v>267</v>
      </c>
      <c r="E19" s="4">
        <v>59317</v>
      </c>
      <c r="F19" s="4">
        <v>57.64</v>
      </c>
      <c r="G19" s="4" t="s">
        <v>8</v>
      </c>
      <c r="H19" s="4" t="s">
        <v>7</v>
      </c>
    </row>
    <row r="20" spans="1:8" x14ac:dyDescent="0.3">
      <c r="A20" s="4" t="s">
        <v>28</v>
      </c>
      <c r="B20" s="4">
        <v>19</v>
      </c>
      <c r="C20" s="4" t="s">
        <v>294</v>
      </c>
      <c r="D20" s="4" t="s">
        <v>267</v>
      </c>
      <c r="E20" s="4">
        <v>93285</v>
      </c>
      <c r="F20" s="4">
        <v>58.33</v>
      </c>
      <c r="G20" s="4" t="s">
        <v>8</v>
      </c>
      <c r="H20" s="4" t="s">
        <v>7</v>
      </c>
    </row>
    <row r="21" spans="1:8" x14ac:dyDescent="0.3">
      <c r="A21" s="4" t="s">
        <v>29</v>
      </c>
      <c r="B21" s="4">
        <v>20</v>
      </c>
      <c r="C21" s="4" t="s">
        <v>295</v>
      </c>
      <c r="D21" s="4" t="s">
        <v>267</v>
      </c>
      <c r="E21" s="4">
        <v>71867</v>
      </c>
      <c r="F21" s="4">
        <v>56.25</v>
      </c>
      <c r="G21" s="4" t="s">
        <v>8</v>
      </c>
      <c r="H21" s="4" t="s">
        <v>7</v>
      </c>
    </row>
    <row r="22" spans="1:8" x14ac:dyDescent="0.3">
      <c r="A22" s="4" t="s">
        <v>30</v>
      </c>
      <c r="B22" s="4">
        <v>21</v>
      </c>
      <c r="C22" s="4" t="s">
        <v>296</v>
      </c>
      <c r="D22" s="4" t="s">
        <v>267</v>
      </c>
      <c r="E22" s="4">
        <v>80054</v>
      </c>
      <c r="F22" s="4">
        <v>57.33</v>
      </c>
      <c r="G22" s="4" t="s">
        <v>8</v>
      </c>
      <c r="H22" s="4" t="s">
        <v>7</v>
      </c>
    </row>
    <row r="23" spans="1:8" x14ac:dyDescent="0.3">
      <c r="A23" s="4" t="s">
        <v>31</v>
      </c>
      <c r="B23" s="4">
        <v>22</v>
      </c>
      <c r="C23" s="4" t="s">
        <v>297</v>
      </c>
      <c r="D23" s="4" t="s">
        <v>267</v>
      </c>
      <c r="E23" s="4">
        <v>74351</v>
      </c>
      <c r="F23" s="4">
        <v>57.59</v>
      </c>
      <c r="G23" s="4" t="s">
        <v>8</v>
      </c>
      <c r="H23" s="4" t="s">
        <v>7</v>
      </c>
    </row>
    <row r="24" spans="1:8" x14ac:dyDescent="0.3">
      <c r="A24" s="4" t="s">
        <v>32</v>
      </c>
      <c r="B24" s="4">
        <v>23</v>
      </c>
      <c r="C24" s="4" t="s">
        <v>298</v>
      </c>
      <c r="D24" s="4" t="s">
        <v>267</v>
      </c>
      <c r="E24" s="4">
        <v>80194</v>
      </c>
      <c r="F24" s="4">
        <v>57.36</v>
      </c>
      <c r="G24" s="4" t="s">
        <v>8</v>
      </c>
      <c r="H24" s="4" t="s">
        <v>7</v>
      </c>
    </row>
    <row r="25" spans="1:8" x14ac:dyDescent="0.3">
      <c r="A25" s="4" t="s">
        <v>33</v>
      </c>
      <c r="B25" s="4">
        <v>24</v>
      </c>
      <c r="C25" s="4" t="s">
        <v>299</v>
      </c>
      <c r="D25" s="4" t="s">
        <v>267</v>
      </c>
      <c r="E25" s="4">
        <v>56035</v>
      </c>
      <c r="F25" s="4">
        <v>55.99</v>
      </c>
      <c r="G25" s="4" t="s">
        <v>8</v>
      </c>
      <c r="H25" s="4" t="s">
        <v>7</v>
      </c>
    </row>
    <row r="26" spans="1:8" x14ac:dyDescent="0.3">
      <c r="A26" s="4" t="s">
        <v>34</v>
      </c>
      <c r="B26" s="4">
        <v>25</v>
      </c>
      <c r="C26" s="4" t="s">
        <v>300</v>
      </c>
      <c r="D26" s="4" t="s">
        <v>267</v>
      </c>
      <c r="E26" s="4">
        <v>68392</v>
      </c>
      <c r="F26" s="4">
        <v>56.6</v>
      </c>
      <c r="G26" s="4" t="s">
        <v>8</v>
      </c>
      <c r="H26" s="4" t="s">
        <v>7</v>
      </c>
    </row>
    <row r="27" spans="1:8" x14ac:dyDescent="0.3">
      <c r="A27" s="4" t="s">
        <v>35</v>
      </c>
      <c r="B27" s="4">
        <v>26</v>
      </c>
      <c r="C27" s="4" t="s">
        <v>301</v>
      </c>
      <c r="D27" s="4" t="s">
        <v>271</v>
      </c>
      <c r="E27" s="4">
        <v>68493</v>
      </c>
      <c r="F27" s="4">
        <v>56.18</v>
      </c>
      <c r="G27" s="4" t="s">
        <v>8</v>
      </c>
      <c r="H27" s="4" t="s">
        <v>7</v>
      </c>
    </row>
    <row r="28" spans="1:8" x14ac:dyDescent="0.3">
      <c r="A28" s="4" t="s">
        <v>36</v>
      </c>
      <c r="B28" s="4">
        <v>27</v>
      </c>
      <c r="C28" s="4" t="s">
        <v>303</v>
      </c>
      <c r="D28" s="4" t="s">
        <v>267</v>
      </c>
      <c r="E28" s="4">
        <v>171558</v>
      </c>
      <c r="F28" s="4">
        <v>55.51</v>
      </c>
      <c r="G28" s="4" t="s">
        <v>8</v>
      </c>
      <c r="H28" s="4" t="s">
        <v>7</v>
      </c>
    </row>
    <row r="29" spans="1:8" x14ac:dyDescent="0.3">
      <c r="A29" s="4" t="s">
        <v>38</v>
      </c>
      <c r="B29" s="4">
        <v>28</v>
      </c>
      <c r="C29" s="4" t="s">
        <v>304</v>
      </c>
      <c r="D29" s="4" t="s">
        <v>267</v>
      </c>
      <c r="E29" s="4">
        <v>116785</v>
      </c>
      <c r="F29" s="4">
        <v>60.82</v>
      </c>
      <c r="G29" s="4" t="s">
        <v>8</v>
      </c>
      <c r="H29" s="4" t="s">
        <v>7</v>
      </c>
    </row>
    <row r="30" spans="1:8" x14ac:dyDescent="0.3">
      <c r="A30" s="4" t="s">
        <v>39</v>
      </c>
      <c r="B30" s="4">
        <v>29</v>
      </c>
      <c r="C30" s="4" t="s">
        <v>305</v>
      </c>
      <c r="D30" s="4" t="s">
        <v>271</v>
      </c>
      <c r="E30" s="4">
        <v>115353</v>
      </c>
      <c r="F30" s="4">
        <v>73.94</v>
      </c>
      <c r="G30" s="4" t="s">
        <v>10</v>
      </c>
      <c r="H30" s="4" t="s">
        <v>7</v>
      </c>
    </row>
    <row r="31" spans="1:8" x14ac:dyDescent="0.3">
      <c r="A31" s="4" t="s">
        <v>40</v>
      </c>
      <c r="B31" s="4">
        <v>30</v>
      </c>
      <c r="C31" s="4" t="s">
        <v>307</v>
      </c>
      <c r="D31" s="4" t="s">
        <v>267</v>
      </c>
      <c r="E31" s="4">
        <v>126427</v>
      </c>
      <c r="F31" s="4">
        <v>60.86</v>
      </c>
      <c r="G31" s="4" t="s">
        <v>8</v>
      </c>
      <c r="H31" s="4" t="s">
        <v>7</v>
      </c>
    </row>
    <row r="32" spans="1:8" x14ac:dyDescent="0.3">
      <c r="A32" s="4" t="s">
        <v>41</v>
      </c>
      <c r="B32" s="4">
        <v>31</v>
      </c>
      <c r="C32" s="4" t="s">
        <v>308</v>
      </c>
      <c r="D32" s="4" t="s">
        <v>267</v>
      </c>
      <c r="E32" s="4">
        <v>116840</v>
      </c>
      <c r="F32" s="4">
        <v>59.55</v>
      </c>
      <c r="G32" s="4" t="s">
        <v>8</v>
      </c>
      <c r="H32" s="4" t="s">
        <v>7</v>
      </c>
    </row>
    <row r="33" spans="1:8" x14ac:dyDescent="0.3">
      <c r="A33" s="4" t="s">
        <v>42</v>
      </c>
      <c r="B33" s="4">
        <v>32</v>
      </c>
      <c r="C33" s="4" t="s">
        <v>309</v>
      </c>
      <c r="D33" s="4" t="s">
        <v>267</v>
      </c>
      <c r="E33" s="4">
        <v>130573</v>
      </c>
      <c r="F33" s="4">
        <v>63.54</v>
      </c>
      <c r="G33" s="4" t="s">
        <v>8</v>
      </c>
      <c r="H33" s="4" t="s">
        <v>7</v>
      </c>
    </row>
    <row r="34" spans="1:8" x14ac:dyDescent="0.3">
      <c r="A34" s="4" t="s">
        <v>43</v>
      </c>
      <c r="B34" s="4">
        <v>33</v>
      </c>
      <c r="C34" s="4" t="s">
        <v>310</v>
      </c>
      <c r="D34" s="4" t="s">
        <v>311</v>
      </c>
      <c r="E34" s="4">
        <v>93954</v>
      </c>
      <c r="F34" s="4">
        <v>76.36</v>
      </c>
      <c r="G34" s="4" t="s">
        <v>8</v>
      </c>
      <c r="H34" s="4" t="s">
        <v>44</v>
      </c>
    </row>
    <row r="35" spans="1:8" x14ac:dyDescent="0.3">
      <c r="A35" s="4" t="s">
        <v>45</v>
      </c>
      <c r="B35" s="4">
        <v>34</v>
      </c>
      <c r="C35" s="4" t="s">
        <v>312</v>
      </c>
      <c r="D35" s="4" t="s">
        <v>311</v>
      </c>
      <c r="E35" s="4">
        <v>82750</v>
      </c>
      <c r="F35" s="4">
        <v>77.88</v>
      </c>
      <c r="G35" s="4" t="s">
        <v>10</v>
      </c>
      <c r="H35" s="4" t="s">
        <v>44</v>
      </c>
    </row>
    <row r="36" spans="1:8" x14ac:dyDescent="0.3">
      <c r="A36" s="4" t="s">
        <v>46</v>
      </c>
      <c r="B36" s="4">
        <v>35</v>
      </c>
      <c r="C36" s="4" t="s">
        <v>313</v>
      </c>
      <c r="D36" s="4" t="s">
        <v>272</v>
      </c>
      <c r="E36" s="4">
        <v>86646</v>
      </c>
      <c r="F36" s="4">
        <v>80.650000000000006</v>
      </c>
      <c r="G36" s="4" t="s">
        <v>10</v>
      </c>
      <c r="H36" s="4" t="s">
        <v>44</v>
      </c>
    </row>
    <row r="37" spans="1:8" x14ac:dyDescent="0.3">
      <c r="A37" s="4" t="s">
        <v>47</v>
      </c>
      <c r="B37" s="4">
        <v>36</v>
      </c>
      <c r="C37" s="4" t="s">
        <v>314</v>
      </c>
      <c r="D37" s="4" t="s">
        <v>267</v>
      </c>
      <c r="E37" s="4">
        <v>93427</v>
      </c>
      <c r="F37" s="4">
        <v>80.099999999999994</v>
      </c>
      <c r="G37" s="4" t="s">
        <v>8</v>
      </c>
      <c r="H37" s="4" t="s">
        <v>44</v>
      </c>
    </row>
    <row r="38" spans="1:8" x14ac:dyDescent="0.3">
      <c r="A38" s="4" t="s">
        <v>48</v>
      </c>
      <c r="B38" s="4">
        <v>37</v>
      </c>
      <c r="C38" s="4" t="s">
        <v>315</v>
      </c>
      <c r="D38" s="4" t="s">
        <v>267</v>
      </c>
      <c r="E38" s="4">
        <v>102712</v>
      </c>
      <c r="F38" s="4">
        <v>73.28</v>
      </c>
      <c r="G38" s="4" t="s">
        <v>8</v>
      </c>
      <c r="H38" s="4" t="s">
        <v>44</v>
      </c>
    </row>
    <row r="39" spans="1:8" x14ac:dyDescent="0.3">
      <c r="A39" s="4" t="s">
        <v>49</v>
      </c>
      <c r="B39" s="4">
        <v>38</v>
      </c>
      <c r="C39" s="4" t="s">
        <v>316</v>
      </c>
      <c r="D39" s="4" t="s">
        <v>272</v>
      </c>
      <c r="E39" s="4">
        <v>85399</v>
      </c>
      <c r="F39" s="4">
        <v>74.89</v>
      </c>
      <c r="G39" s="4" t="s">
        <v>10</v>
      </c>
      <c r="H39" s="4" t="s">
        <v>44</v>
      </c>
    </row>
    <row r="40" spans="1:8" x14ac:dyDescent="0.3">
      <c r="A40" s="4" t="s">
        <v>51</v>
      </c>
      <c r="B40" s="4">
        <v>39</v>
      </c>
      <c r="C40" s="4" t="s">
        <v>317</v>
      </c>
      <c r="D40" s="4" t="s">
        <v>271</v>
      </c>
      <c r="E40" s="4">
        <v>110228</v>
      </c>
      <c r="F40" s="4">
        <v>80.09</v>
      </c>
      <c r="G40" s="4" t="s">
        <v>8</v>
      </c>
      <c r="H40" s="4" t="s">
        <v>44</v>
      </c>
    </row>
    <row r="41" spans="1:8" x14ac:dyDescent="0.3">
      <c r="A41" s="4" t="s">
        <v>52</v>
      </c>
      <c r="B41" s="4">
        <v>40</v>
      </c>
      <c r="C41" s="4" t="s">
        <v>318</v>
      </c>
      <c r="D41" s="4" t="s">
        <v>267</v>
      </c>
      <c r="E41" s="4">
        <v>85140</v>
      </c>
      <c r="F41" s="4">
        <v>74</v>
      </c>
      <c r="G41" s="4" t="s">
        <v>8</v>
      </c>
      <c r="H41" s="4" t="s">
        <v>44</v>
      </c>
    </row>
    <row r="42" spans="1:8" x14ac:dyDescent="0.3">
      <c r="A42" s="4" t="s">
        <v>53</v>
      </c>
      <c r="B42" s="4">
        <v>41</v>
      </c>
      <c r="C42" s="4" t="s">
        <v>319</v>
      </c>
      <c r="D42" s="4" t="s">
        <v>267</v>
      </c>
      <c r="E42" s="4">
        <v>103291</v>
      </c>
      <c r="F42" s="4">
        <v>77.239999999999995</v>
      </c>
      <c r="G42" s="4" t="s">
        <v>8</v>
      </c>
      <c r="H42" s="4" t="s">
        <v>44</v>
      </c>
    </row>
    <row r="43" spans="1:8" x14ac:dyDescent="0.3">
      <c r="A43" s="4" t="s">
        <v>54</v>
      </c>
      <c r="B43" s="4">
        <v>42</v>
      </c>
      <c r="C43" s="4" t="s">
        <v>320</v>
      </c>
      <c r="D43" s="4" t="s">
        <v>267</v>
      </c>
      <c r="E43" s="4">
        <v>103885</v>
      </c>
      <c r="F43" s="4">
        <v>79.62</v>
      </c>
      <c r="G43" s="4" t="s">
        <v>8</v>
      </c>
      <c r="H43" s="4" t="s">
        <v>44</v>
      </c>
    </row>
    <row r="44" spans="1:8" x14ac:dyDescent="0.3">
      <c r="A44" s="4" t="s">
        <v>50</v>
      </c>
      <c r="B44" s="4">
        <v>43</v>
      </c>
      <c r="C44" s="4" t="s">
        <v>321</v>
      </c>
      <c r="D44" s="4" t="s">
        <v>267</v>
      </c>
      <c r="E44" s="4">
        <v>84299</v>
      </c>
      <c r="F44" s="4">
        <v>70.25</v>
      </c>
      <c r="G44" s="4" t="s">
        <v>8</v>
      </c>
      <c r="H44" s="4" t="s">
        <v>44</v>
      </c>
    </row>
    <row r="45" spans="1:8" x14ac:dyDescent="0.3">
      <c r="A45" s="4" t="s">
        <v>55</v>
      </c>
      <c r="B45" s="4">
        <v>44</v>
      </c>
      <c r="C45" s="4" t="s">
        <v>322</v>
      </c>
      <c r="D45" s="4" t="s">
        <v>267</v>
      </c>
      <c r="E45" s="4">
        <v>95159</v>
      </c>
      <c r="F45" s="4">
        <v>77.05</v>
      </c>
      <c r="G45" s="4" t="s">
        <v>8</v>
      </c>
      <c r="H45" s="4" t="s">
        <v>44</v>
      </c>
    </row>
    <row r="46" spans="1:8" x14ac:dyDescent="0.3">
      <c r="A46" s="4" t="s">
        <v>56</v>
      </c>
      <c r="B46" s="4">
        <v>45</v>
      </c>
      <c r="C46" s="4" t="s">
        <v>323</v>
      </c>
      <c r="D46" s="4" t="s">
        <v>272</v>
      </c>
      <c r="E46" s="4">
        <v>84579</v>
      </c>
      <c r="F46" s="4">
        <v>76.5</v>
      </c>
      <c r="G46" s="4" t="s">
        <v>10</v>
      </c>
      <c r="H46" s="4" t="s">
        <v>44</v>
      </c>
    </row>
    <row r="47" spans="1:8" x14ac:dyDescent="0.3">
      <c r="A47" s="4" t="s">
        <v>57</v>
      </c>
      <c r="B47" s="4">
        <v>46</v>
      </c>
      <c r="C47" s="4" t="s">
        <v>324</v>
      </c>
      <c r="D47" s="4" t="s">
        <v>267</v>
      </c>
      <c r="E47" s="4">
        <v>100412</v>
      </c>
      <c r="F47" s="4">
        <v>72.56</v>
      </c>
      <c r="G47" s="4" t="s">
        <v>10</v>
      </c>
      <c r="H47" s="4" t="s">
        <v>44</v>
      </c>
    </row>
    <row r="48" spans="1:8" x14ac:dyDescent="0.3">
      <c r="A48" s="4" t="s">
        <v>58</v>
      </c>
      <c r="B48" s="4">
        <v>47</v>
      </c>
      <c r="C48" s="4" t="s">
        <v>325</v>
      </c>
      <c r="D48" s="4" t="s">
        <v>272</v>
      </c>
      <c r="E48" s="4">
        <v>88018</v>
      </c>
      <c r="F48" s="4">
        <v>75.55</v>
      </c>
      <c r="G48" s="4" t="s">
        <v>8</v>
      </c>
      <c r="H48" s="4" t="s">
        <v>44</v>
      </c>
    </row>
    <row r="49" spans="1:8" x14ac:dyDescent="0.3">
      <c r="A49" s="4" t="s">
        <v>59</v>
      </c>
      <c r="B49" s="4">
        <v>48</v>
      </c>
      <c r="C49" s="4" t="s">
        <v>327</v>
      </c>
      <c r="D49" s="4" t="s">
        <v>267</v>
      </c>
      <c r="E49" s="4">
        <v>90476</v>
      </c>
      <c r="F49" s="4">
        <v>74.010000000000005</v>
      </c>
      <c r="G49" s="4" t="s">
        <v>8</v>
      </c>
      <c r="H49" s="4" t="s">
        <v>44</v>
      </c>
    </row>
    <row r="50" spans="1:8" x14ac:dyDescent="0.3">
      <c r="A50" s="4" t="s">
        <v>60</v>
      </c>
      <c r="B50" s="4">
        <v>49</v>
      </c>
      <c r="C50" s="4" t="s">
        <v>328</v>
      </c>
      <c r="D50" s="4" t="s">
        <v>267</v>
      </c>
      <c r="E50" s="4">
        <v>89490</v>
      </c>
      <c r="F50" s="4">
        <v>80.98</v>
      </c>
      <c r="G50" s="4" t="s">
        <v>8</v>
      </c>
      <c r="H50" s="4" t="s">
        <v>44</v>
      </c>
    </row>
    <row r="51" spans="1:8" x14ac:dyDescent="0.3">
      <c r="A51" s="4" t="s">
        <v>62</v>
      </c>
      <c r="B51" s="4">
        <v>51</v>
      </c>
      <c r="C51" s="4" t="s">
        <v>329</v>
      </c>
      <c r="D51" s="4" t="s">
        <v>272</v>
      </c>
      <c r="E51" s="4">
        <v>99675</v>
      </c>
      <c r="F51" s="4">
        <v>78.37</v>
      </c>
      <c r="G51" s="4" t="s">
        <v>10</v>
      </c>
      <c r="H51" s="4" t="s">
        <v>44</v>
      </c>
    </row>
    <row r="52" spans="1:8" x14ac:dyDescent="0.3">
      <c r="A52" s="4" t="s">
        <v>64</v>
      </c>
      <c r="B52" s="4">
        <v>52</v>
      </c>
      <c r="C52" s="4" t="s">
        <v>330</v>
      </c>
      <c r="D52" s="4" t="s">
        <v>267</v>
      </c>
      <c r="E52" s="4">
        <v>97256</v>
      </c>
      <c r="F52" s="4">
        <v>79.08</v>
      </c>
      <c r="G52" s="4" t="s">
        <v>8</v>
      </c>
      <c r="H52" s="4" t="s">
        <v>44</v>
      </c>
    </row>
    <row r="53" spans="1:8" x14ac:dyDescent="0.3">
      <c r="A53" s="4" t="s">
        <v>63</v>
      </c>
      <c r="B53" s="4">
        <v>53</v>
      </c>
      <c r="C53" s="4" t="s">
        <v>331</v>
      </c>
      <c r="D53" s="4" t="s">
        <v>272</v>
      </c>
      <c r="E53" s="4">
        <v>96050</v>
      </c>
      <c r="F53" s="4">
        <v>78.5</v>
      </c>
      <c r="G53" s="4" t="s">
        <v>8</v>
      </c>
      <c r="H53" s="4" t="s">
        <v>44</v>
      </c>
    </row>
    <row r="54" spans="1:8" x14ac:dyDescent="0.3">
      <c r="A54" s="4" t="s">
        <v>65</v>
      </c>
      <c r="B54" s="4">
        <v>54</v>
      </c>
      <c r="C54" s="4" t="s">
        <v>332</v>
      </c>
      <c r="D54" s="4" t="s">
        <v>272</v>
      </c>
      <c r="E54" s="4">
        <v>94104</v>
      </c>
      <c r="F54" s="4">
        <v>81.31</v>
      </c>
      <c r="G54" s="4" t="s">
        <v>8</v>
      </c>
      <c r="H54" s="4" t="s">
        <v>44</v>
      </c>
    </row>
    <row r="55" spans="1:8" x14ac:dyDescent="0.3">
      <c r="A55" s="4" t="s">
        <v>66</v>
      </c>
      <c r="B55" s="4">
        <v>55</v>
      </c>
      <c r="C55" s="4" t="s">
        <v>333</v>
      </c>
      <c r="D55" s="4" t="s">
        <v>267</v>
      </c>
      <c r="E55" s="4">
        <v>118231</v>
      </c>
      <c r="F55" s="4">
        <v>70.09</v>
      </c>
      <c r="G55" s="4" t="s">
        <v>8</v>
      </c>
      <c r="H55" s="4" t="s">
        <v>44</v>
      </c>
    </row>
    <row r="56" spans="1:8" x14ac:dyDescent="0.3">
      <c r="A56" s="4" t="s">
        <v>67</v>
      </c>
      <c r="B56" s="4">
        <v>56</v>
      </c>
      <c r="C56" s="4" t="s">
        <v>334</v>
      </c>
      <c r="D56" s="4" t="s">
        <v>335</v>
      </c>
      <c r="E56" s="4">
        <v>120641</v>
      </c>
      <c r="F56" s="4">
        <v>77.06</v>
      </c>
      <c r="G56" s="4" t="s">
        <v>8</v>
      </c>
      <c r="H56" s="4" t="s">
        <v>44</v>
      </c>
    </row>
    <row r="57" spans="1:8" x14ac:dyDescent="0.3">
      <c r="A57" s="4" t="s">
        <v>68</v>
      </c>
      <c r="B57" s="4">
        <v>57</v>
      </c>
      <c r="C57" s="4" t="s">
        <v>336</v>
      </c>
      <c r="D57" s="4" t="s">
        <v>272</v>
      </c>
      <c r="E57" s="4">
        <v>110070</v>
      </c>
      <c r="F57" s="4">
        <v>87.37</v>
      </c>
      <c r="G57" s="4" t="s">
        <v>8</v>
      </c>
      <c r="H57" s="4" t="s">
        <v>44</v>
      </c>
    </row>
    <row r="58" spans="1:8" x14ac:dyDescent="0.3">
      <c r="A58" s="4" t="s">
        <v>70</v>
      </c>
      <c r="B58" s="4">
        <v>58</v>
      </c>
      <c r="C58" s="4" t="s">
        <v>337</v>
      </c>
      <c r="D58" s="4" t="s">
        <v>268</v>
      </c>
      <c r="E58" s="4">
        <v>106123</v>
      </c>
      <c r="F58" s="4">
        <v>85</v>
      </c>
      <c r="G58" s="4" t="s">
        <v>8</v>
      </c>
      <c r="H58" s="4" t="s">
        <v>44</v>
      </c>
    </row>
    <row r="59" spans="1:8" x14ac:dyDescent="0.3">
      <c r="A59" s="4" t="s">
        <v>69</v>
      </c>
      <c r="B59" s="4">
        <v>59</v>
      </c>
      <c r="C59" s="4" t="s">
        <v>338</v>
      </c>
      <c r="D59" s="4" t="s">
        <v>268</v>
      </c>
      <c r="E59" s="4">
        <v>105630</v>
      </c>
      <c r="F59" s="4">
        <v>79.69</v>
      </c>
      <c r="G59" s="4" t="s">
        <v>8</v>
      </c>
      <c r="H59" s="4" t="s">
        <v>44</v>
      </c>
    </row>
    <row r="60" spans="1:8" x14ac:dyDescent="0.3">
      <c r="A60" s="4" t="s">
        <v>71</v>
      </c>
      <c r="B60" s="4">
        <v>60</v>
      </c>
      <c r="C60" s="4" t="s">
        <v>339</v>
      </c>
      <c r="D60" s="4" t="s">
        <v>272</v>
      </c>
      <c r="E60" s="4">
        <v>114507</v>
      </c>
      <c r="F60" s="4">
        <v>82.15</v>
      </c>
      <c r="G60" s="4" t="s">
        <v>8</v>
      </c>
      <c r="H60" s="4" t="s">
        <v>44</v>
      </c>
    </row>
    <row r="61" spans="1:8" x14ac:dyDescent="0.3">
      <c r="A61" s="4" t="s">
        <v>72</v>
      </c>
      <c r="B61" s="4">
        <v>61</v>
      </c>
      <c r="C61" s="4" t="s">
        <v>340</v>
      </c>
      <c r="D61" s="4" t="s">
        <v>272</v>
      </c>
      <c r="E61" s="4">
        <v>99061</v>
      </c>
      <c r="F61" s="4">
        <v>78.459999999999994</v>
      </c>
      <c r="G61" s="4" t="s">
        <v>10</v>
      </c>
      <c r="H61" s="4" t="s">
        <v>44</v>
      </c>
    </row>
    <row r="62" spans="1:8" x14ac:dyDescent="0.3">
      <c r="A62" s="4" t="s">
        <v>73</v>
      </c>
      <c r="B62" s="4">
        <v>62</v>
      </c>
      <c r="C62" s="4" t="s">
        <v>342</v>
      </c>
      <c r="D62" s="4" t="s">
        <v>267</v>
      </c>
      <c r="E62" s="4">
        <v>108081</v>
      </c>
      <c r="F62" s="4">
        <v>80.66</v>
      </c>
      <c r="G62" s="4" t="s">
        <v>10</v>
      </c>
      <c r="H62" s="4" t="s">
        <v>44</v>
      </c>
    </row>
    <row r="63" spans="1:8" x14ac:dyDescent="0.3">
      <c r="A63" s="4" t="s">
        <v>74</v>
      </c>
      <c r="B63" s="4">
        <v>63</v>
      </c>
      <c r="C63" s="4" t="s">
        <v>343</v>
      </c>
      <c r="D63" s="4" t="s">
        <v>267</v>
      </c>
      <c r="E63" s="4">
        <v>137876</v>
      </c>
      <c r="F63" s="4">
        <v>71.69</v>
      </c>
      <c r="G63" s="4" t="s">
        <v>8</v>
      </c>
      <c r="H63" s="4" t="s">
        <v>44</v>
      </c>
    </row>
    <row r="64" spans="1:8" x14ac:dyDescent="0.3">
      <c r="A64" s="4" t="s">
        <v>75</v>
      </c>
      <c r="B64" s="4">
        <v>64</v>
      </c>
      <c r="C64" s="4" t="s">
        <v>344</v>
      </c>
      <c r="D64" s="4" t="s">
        <v>267</v>
      </c>
      <c r="E64" s="4">
        <v>104675</v>
      </c>
      <c r="F64" s="4">
        <v>79.349999999999994</v>
      </c>
      <c r="G64" s="4" t="s">
        <v>8</v>
      </c>
      <c r="H64" s="4" t="s">
        <v>44</v>
      </c>
    </row>
    <row r="65" spans="1:8" x14ac:dyDescent="0.3">
      <c r="A65" s="4" t="s">
        <v>76</v>
      </c>
      <c r="B65" s="4">
        <v>65</v>
      </c>
      <c r="C65" s="4" t="s">
        <v>345</v>
      </c>
      <c r="D65" s="4" t="s">
        <v>267</v>
      </c>
      <c r="E65" s="4">
        <v>94134</v>
      </c>
      <c r="F65" s="4">
        <v>80.36</v>
      </c>
      <c r="G65" s="4" t="s">
        <v>8</v>
      </c>
      <c r="H65" s="4" t="s">
        <v>44</v>
      </c>
    </row>
    <row r="66" spans="1:8" x14ac:dyDescent="0.3">
      <c r="A66" s="4" t="s">
        <v>77</v>
      </c>
      <c r="B66" s="4">
        <v>66</v>
      </c>
      <c r="C66" s="4" t="s">
        <v>346</v>
      </c>
      <c r="D66" s="4" t="s">
        <v>272</v>
      </c>
      <c r="E66" s="4">
        <v>97732</v>
      </c>
      <c r="F66" s="4">
        <v>82.33</v>
      </c>
      <c r="G66" s="4" t="s">
        <v>8</v>
      </c>
      <c r="H66" s="4" t="s">
        <v>44</v>
      </c>
    </row>
    <row r="67" spans="1:8" x14ac:dyDescent="0.3">
      <c r="A67" s="4" t="s">
        <v>78</v>
      </c>
      <c r="B67" s="4">
        <v>67</v>
      </c>
      <c r="C67" s="4" t="s">
        <v>347</v>
      </c>
      <c r="D67" s="4" t="s">
        <v>272</v>
      </c>
      <c r="E67" s="4">
        <v>102961</v>
      </c>
      <c r="F67" s="4">
        <v>79.84</v>
      </c>
      <c r="G67" s="4" t="s">
        <v>8</v>
      </c>
      <c r="H67" s="4" t="s">
        <v>44</v>
      </c>
    </row>
    <row r="68" spans="1:8" x14ac:dyDescent="0.3">
      <c r="A68" s="4" t="s">
        <v>79</v>
      </c>
      <c r="B68" s="4">
        <v>68</v>
      </c>
      <c r="C68" s="4" t="s">
        <v>348</v>
      </c>
      <c r="D68" s="4" t="s">
        <v>267</v>
      </c>
      <c r="E68" s="4">
        <v>102460</v>
      </c>
      <c r="F68" s="4">
        <v>81.69</v>
      </c>
      <c r="G68" s="4" t="s">
        <v>8</v>
      </c>
      <c r="H68" s="4" t="s">
        <v>44</v>
      </c>
    </row>
    <row r="69" spans="1:8" x14ac:dyDescent="0.3">
      <c r="A69" s="4" t="s">
        <v>80</v>
      </c>
      <c r="B69" s="4">
        <v>69</v>
      </c>
      <c r="C69" s="4" t="s">
        <v>349</v>
      </c>
      <c r="D69" s="4" t="s">
        <v>267</v>
      </c>
      <c r="E69" s="4">
        <v>102064</v>
      </c>
      <c r="F69" s="4">
        <v>76.81</v>
      </c>
      <c r="G69" s="4" t="s">
        <v>10</v>
      </c>
      <c r="H69" s="4" t="s">
        <v>44</v>
      </c>
    </row>
    <row r="70" spans="1:8" x14ac:dyDescent="0.3">
      <c r="A70" s="4" t="s">
        <v>81</v>
      </c>
      <c r="B70" s="4">
        <v>70</v>
      </c>
      <c r="C70" s="4" t="s">
        <v>350</v>
      </c>
      <c r="D70" s="4" t="s">
        <v>267</v>
      </c>
      <c r="E70" s="4">
        <v>109625</v>
      </c>
      <c r="F70" s="4">
        <v>78.209999999999994</v>
      </c>
      <c r="G70" s="4" t="s">
        <v>8</v>
      </c>
      <c r="H70" s="4" t="s">
        <v>83</v>
      </c>
    </row>
    <row r="71" spans="1:8" x14ac:dyDescent="0.3">
      <c r="A71" s="4" t="s">
        <v>84</v>
      </c>
      <c r="B71" s="4">
        <v>71</v>
      </c>
      <c r="C71" s="4" t="s">
        <v>351</v>
      </c>
      <c r="D71" s="4" t="s">
        <v>268</v>
      </c>
      <c r="E71" s="4">
        <v>81044</v>
      </c>
      <c r="F71" s="4">
        <v>79.5</v>
      </c>
      <c r="G71" s="4" t="s">
        <v>8</v>
      </c>
      <c r="H71" s="4" t="s">
        <v>83</v>
      </c>
    </row>
    <row r="72" spans="1:8" x14ac:dyDescent="0.3">
      <c r="A72" s="4" t="s">
        <v>85</v>
      </c>
      <c r="B72" s="4">
        <v>72</v>
      </c>
      <c r="C72" s="4" t="s">
        <v>352</v>
      </c>
      <c r="D72" s="4" t="s">
        <v>272</v>
      </c>
      <c r="E72" s="4">
        <v>87152</v>
      </c>
      <c r="F72" s="4">
        <v>78.430000000000007</v>
      </c>
      <c r="G72" s="4" t="s">
        <v>10</v>
      </c>
      <c r="H72" s="4" t="s">
        <v>83</v>
      </c>
    </row>
    <row r="73" spans="1:8" x14ac:dyDescent="0.3">
      <c r="A73" s="4" t="s">
        <v>86</v>
      </c>
      <c r="B73" s="4">
        <v>73</v>
      </c>
      <c r="C73" s="4" t="s">
        <v>353</v>
      </c>
      <c r="D73" s="4" t="s">
        <v>272</v>
      </c>
      <c r="E73" s="4">
        <v>92219</v>
      </c>
      <c r="F73" s="4">
        <v>79.790000000000006</v>
      </c>
      <c r="G73" s="4" t="s">
        <v>10</v>
      </c>
      <c r="H73" s="4" t="s">
        <v>83</v>
      </c>
    </row>
    <row r="74" spans="1:8" x14ac:dyDescent="0.3">
      <c r="A74" s="4" t="s">
        <v>82</v>
      </c>
      <c r="B74" s="4">
        <v>74</v>
      </c>
      <c r="C74" s="4" t="s">
        <v>355</v>
      </c>
      <c r="D74" s="4" t="s">
        <v>267</v>
      </c>
      <c r="E74" s="4">
        <v>102271</v>
      </c>
      <c r="F74" s="4">
        <v>76.97</v>
      </c>
      <c r="G74" s="4" t="s">
        <v>8</v>
      </c>
      <c r="H74" s="4" t="s">
        <v>83</v>
      </c>
    </row>
    <row r="75" spans="1:8" x14ac:dyDescent="0.3">
      <c r="A75" s="4" t="s">
        <v>87</v>
      </c>
      <c r="B75" s="4">
        <v>75</v>
      </c>
      <c r="C75" s="4" t="s">
        <v>356</v>
      </c>
      <c r="D75" s="4" t="s">
        <v>267</v>
      </c>
      <c r="E75" s="4">
        <v>93730</v>
      </c>
      <c r="F75" s="4">
        <v>81.39</v>
      </c>
      <c r="G75" s="4" t="s">
        <v>8</v>
      </c>
      <c r="H75" s="4" t="s">
        <v>83</v>
      </c>
    </row>
    <row r="76" spans="1:8" x14ac:dyDescent="0.3">
      <c r="A76" s="4" t="s">
        <v>88</v>
      </c>
      <c r="B76" s="4">
        <v>76</v>
      </c>
      <c r="C76" s="4" t="s">
        <v>357</v>
      </c>
      <c r="D76" s="4" t="s">
        <v>267</v>
      </c>
      <c r="E76" s="4">
        <v>110980</v>
      </c>
      <c r="F76" s="4">
        <v>76.27</v>
      </c>
      <c r="G76" s="4" t="s">
        <v>8</v>
      </c>
      <c r="H76" s="4" t="s">
        <v>83</v>
      </c>
    </row>
    <row r="77" spans="1:8" x14ac:dyDescent="0.3">
      <c r="A77" s="4" t="s">
        <v>89</v>
      </c>
      <c r="B77" s="4">
        <v>77</v>
      </c>
      <c r="C77" s="4" t="s">
        <v>358</v>
      </c>
      <c r="D77" s="4" t="s">
        <v>267</v>
      </c>
      <c r="E77" s="4">
        <v>115451</v>
      </c>
      <c r="F77" s="4">
        <v>82.62</v>
      </c>
      <c r="G77" s="4" t="s">
        <v>8</v>
      </c>
      <c r="H77" s="4" t="s">
        <v>83</v>
      </c>
    </row>
    <row r="78" spans="1:8" x14ac:dyDescent="0.3">
      <c r="A78" s="4" t="s">
        <v>90</v>
      </c>
      <c r="B78" s="4">
        <v>78</v>
      </c>
      <c r="C78" s="4" t="s">
        <v>359</v>
      </c>
      <c r="D78" s="4" t="s">
        <v>267</v>
      </c>
      <c r="E78" s="4">
        <v>113912</v>
      </c>
      <c r="F78" s="4">
        <v>80.180000000000007</v>
      </c>
      <c r="G78" s="4" t="s">
        <v>8</v>
      </c>
      <c r="H78" s="4" t="s">
        <v>83</v>
      </c>
    </row>
    <row r="79" spans="1:8" x14ac:dyDescent="0.3">
      <c r="A79" s="4" t="s">
        <v>91</v>
      </c>
      <c r="B79" s="4">
        <v>79</v>
      </c>
      <c r="C79" s="4" t="s">
        <v>360</v>
      </c>
      <c r="D79" s="4" t="s">
        <v>267</v>
      </c>
      <c r="E79" s="4">
        <v>121186</v>
      </c>
      <c r="F79" s="4">
        <v>79.58</v>
      </c>
      <c r="G79" s="4" t="s">
        <v>8</v>
      </c>
      <c r="H79" s="4" t="s">
        <v>83</v>
      </c>
    </row>
    <row r="80" spans="1:8" x14ac:dyDescent="0.3">
      <c r="A80" s="4" t="s">
        <v>92</v>
      </c>
      <c r="B80" s="4">
        <v>80</v>
      </c>
      <c r="C80" s="4" t="s">
        <v>361</v>
      </c>
      <c r="D80" s="4" t="s">
        <v>272</v>
      </c>
      <c r="E80" s="4">
        <v>110643</v>
      </c>
      <c r="F80" s="4">
        <v>78.16</v>
      </c>
      <c r="G80" s="4" t="s">
        <v>10</v>
      </c>
      <c r="H80" s="4" t="s">
        <v>83</v>
      </c>
    </row>
    <row r="81" spans="1:8" x14ac:dyDescent="0.3">
      <c r="A81" s="4" t="s">
        <v>93</v>
      </c>
      <c r="B81" s="4">
        <v>81</v>
      </c>
      <c r="C81" s="4" t="s">
        <v>362</v>
      </c>
      <c r="D81" s="4" t="s">
        <v>272</v>
      </c>
      <c r="E81" s="4">
        <v>89568</v>
      </c>
      <c r="F81" s="4">
        <v>77.11</v>
      </c>
      <c r="G81" s="4" t="s">
        <v>10</v>
      </c>
      <c r="H81" s="4" t="s">
        <v>83</v>
      </c>
    </row>
    <row r="82" spans="1:8" x14ac:dyDescent="0.3">
      <c r="A82" s="4" t="s">
        <v>95</v>
      </c>
      <c r="B82" s="4">
        <v>82</v>
      </c>
      <c r="C82" s="4" t="s">
        <v>363</v>
      </c>
      <c r="D82" s="4" t="s">
        <v>272</v>
      </c>
      <c r="E82" s="4">
        <v>95308</v>
      </c>
      <c r="F82" s="4">
        <v>77.260000000000005</v>
      </c>
      <c r="G82" s="4" t="s">
        <v>10</v>
      </c>
      <c r="H82" s="4" t="s">
        <v>83</v>
      </c>
    </row>
    <row r="83" spans="1:8" x14ac:dyDescent="0.3">
      <c r="A83" s="4" t="s">
        <v>96</v>
      </c>
      <c r="B83" s="4">
        <v>83</v>
      </c>
      <c r="C83" s="4" t="s">
        <v>364</v>
      </c>
      <c r="D83" s="4" t="s">
        <v>272</v>
      </c>
      <c r="E83" s="4">
        <v>121561</v>
      </c>
      <c r="F83" s="4">
        <v>83.09</v>
      </c>
      <c r="G83" s="4" t="s">
        <v>97</v>
      </c>
      <c r="H83" s="4" t="s">
        <v>83</v>
      </c>
    </row>
    <row r="84" spans="1:8" x14ac:dyDescent="0.3">
      <c r="A84" s="4" t="s">
        <v>98</v>
      </c>
      <c r="B84" s="4">
        <v>84</v>
      </c>
      <c r="C84" s="4" t="s">
        <v>365</v>
      </c>
      <c r="D84" s="4" t="s">
        <v>272</v>
      </c>
      <c r="E84" s="4">
        <v>142488</v>
      </c>
      <c r="F84" s="4">
        <v>83.28</v>
      </c>
      <c r="G84" s="4" t="s">
        <v>8</v>
      </c>
      <c r="H84" s="4" t="s">
        <v>83</v>
      </c>
    </row>
    <row r="85" spans="1:8" x14ac:dyDescent="0.3">
      <c r="A85" s="4" t="s">
        <v>99</v>
      </c>
      <c r="B85" s="4">
        <v>85</v>
      </c>
      <c r="C85" s="4" t="s">
        <v>366</v>
      </c>
      <c r="D85" s="4" t="s">
        <v>268</v>
      </c>
      <c r="E85" s="4">
        <v>97055</v>
      </c>
      <c r="F85" s="4">
        <v>75.010000000000005</v>
      </c>
      <c r="G85" s="4" t="s">
        <v>8</v>
      </c>
      <c r="H85" s="4" t="s">
        <v>83</v>
      </c>
    </row>
    <row r="86" spans="1:8" x14ac:dyDescent="0.3">
      <c r="A86" s="4" t="s">
        <v>100</v>
      </c>
      <c r="B86" s="4">
        <v>86</v>
      </c>
      <c r="C86" s="4" t="s">
        <v>367</v>
      </c>
      <c r="D86" s="4" t="s">
        <v>272</v>
      </c>
      <c r="E86" s="4">
        <v>163154</v>
      </c>
      <c r="F86" s="4">
        <v>85.64</v>
      </c>
      <c r="G86" s="4" t="s">
        <v>8</v>
      </c>
      <c r="H86" s="4" t="s">
        <v>83</v>
      </c>
    </row>
    <row r="87" spans="1:8" x14ac:dyDescent="0.3">
      <c r="A87" s="4" t="s">
        <v>101</v>
      </c>
      <c r="B87" s="4">
        <v>87</v>
      </c>
      <c r="C87" s="4" t="s">
        <v>368</v>
      </c>
      <c r="D87" s="4" t="s">
        <v>272</v>
      </c>
      <c r="E87" s="4">
        <v>115472</v>
      </c>
      <c r="F87" s="4">
        <v>83.71</v>
      </c>
      <c r="G87" s="4" t="s">
        <v>8</v>
      </c>
      <c r="H87" s="4" t="s">
        <v>83</v>
      </c>
    </row>
    <row r="88" spans="1:8" x14ac:dyDescent="0.3">
      <c r="A88" s="4" t="s">
        <v>102</v>
      </c>
      <c r="B88" s="4">
        <v>88</v>
      </c>
      <c r="C88" s="4" t="s">
        <v>369</v>
      </c>
      <c r="D88" s="4" t="s">
        <v>268</v>
      </c>
      <c r="E88" s="4">
        <v>105483</v>
      </c>
      <c r="F88" s="4">
        <v>71.81</v>
      </c>
      <c r="G88" s="4" t="s">
        <v>8</v>
      </c>
      <c r="H88" s="4" t="s">
        <v>83</v>
      </c>
    </row>
    <row r="89" spans="1:8" x14ac:dyDescent="0.3">
      <c r="A89" s="4" t="s">
        <v>103</v>
      </c>
      <c r="B89" s="4">
        <v>89</v>
      </c>
      <c r="C89" s="4" t="s">
        <v>370</v>
      </c>
      <c r="D89" s="4" t="s">
        <v>267</v>
      </c>
      <c r="E89" s="4">
        <v>93432</v>
      </c>
      <c r="F89" s="4">
        <v>72.14</v>
      </c>
      <c r="G89" s="4" t="s">
        <v>8</v>
      </c>
      <c r="H89" s="4" t="s">
        <v>83</v>
      </c>
    </row>
    <row r="90" spans="1:8" x14ac:dyDescent="0.3">
      <c r="A90" s="4" t="s">
        <v>104</v>
      </c>
      <c r="B90" s="4">
        <v>90</v>
      </c>
      <c r="C90" s="4" t="s">
        <v>371</v>
      </c>
      <c r="D90" s="4" t="s">
        <v>272</v>
      </c>
      <c r="E90" s="4">
        <v>97506</v>
      </c>
      <c r="F90" s="4">
        <v>76</v>
      </c>
      <c r="G90" s="4" t="s">
        <v>8</v>
      </c>
      <c r="H90" s="4" t="s">
        <v>83</v>
      </c>
    </row>
    <row r="91" spans="1:8" x14ac:dyDescent="0.3">
      <c r="A91" s="4" t="s">
        <v>105</v>
      </c>
      <c r="B91" s="4">
        <v>91</v>
      </c>
      <c r="C91" s="4" t="s">
        <v>372</v>
      </c>
      <c r="D91" s="4" t="s">
        <v>272</v>
      </c>
      <c r="E91" s="4">
        <v>111682</v>
      </c>
      <c r="F91" s="4">
        <v>85.64</v>
      </c>
      <c r="G91" s="4" t="s">
        <v>8</v>
      </c>
      <c r="H91" s="4" t="s">
        <v>83</v>
      </c>
    </row>
    <row r="92" spans="1:8" x14ac:dyDescent="0.3">
      <c r="A92" s="4" t="s">
        <v>106</v>
      </c>
      <c r="B92" s="4">
        <v>92</v>
      </c>
      <c r="C92" s="4" t="s">
        <v>373</v>
      </c>
      <c r="D92" s="4" t="s">
        <v>267</v>
      </c>
      <c r="E92" s="4">
        <v>90727</v>
      </c>
      <c r="F92" s="4">
        <v>82.05</v>
      </c>
      <c r="G92" s="4" t="s">
        <v>10</v>
      </c>
      <c r="H92" s="4" t="s">
        <v>83</v>
      </c>
    </row>
    <row r="93" spans="1:8" x14ac:dyDescent="0.3">
      <c r="A93" s="4" t="s">
        <v>108</v>
      </c>
      <c r="B93" s="4">
        <v>93</v>
      </c>
      <c r="C93" s="4" t="s">
        <v>374</v>
      </c>
      <c r="D93" s="4" t="s">
        <v>267</v>
      </c>
      <c r="E93" s="4">
        <v>90681</v>
      </c>
      <c r="F93" s="4">
        <v>80.930000000000007</v>
      </c>
      <c r="G93" s="4" t="s">
        <v>97</v>
      </c>
      <c r="H93" s="4" t="s">
        <v>83</v>
      </c>
    </row>
    <row r="94" spans="1:8" x14ac:dyDescent="0.3">
      <c r="A94" s="4" t="s">
        <v>107</v>
      </c>
      <c r="B94" s="4">
        <v>94</v>
      </c>
      <c r="C94" s="4" t="s">
        <v>375</v>
      </c>
      <c r="D94" s="4" t="s">
        <v>267</v>
      </c>
      <c r="E94" s="4">
        <v>106494</v>
      </c>
      <c r="F94" s="4">
        <v>78.569999999999993</v>
      </c>
      <c r="G94" s="4" t="s">
        <v>8</v>
      </c>
      <c r="H94" s="4" t="s">
        <v>83</v>
      </c>
    </row>
    <row r="95" spans="1:8" x14ac:dyDescent="0.3">
      <c r="A95" s="4" t="s">
        <v>109</v>
      </c>
      <c r="B95" s="4">
        <v>95</v>
      </c>
      <c r="C95" s="4" t="s">
        <v>376</v>
      </c>
      <c r="D95" s="4" t="s">
        <v>272</v>
      </c>
      <c r="E95" s="4">
        <v>86034</v>
      </c>
      <c r="F95" s="4">
        <v>81.14</v>
      </c>
      <c r="G95" s="4" t="s">
        <v>8</v>
      </c>
      <c r="H95" s="4" t="s">
        <v>83</v>
      </c>
    </row>
    <row r="96" spans="1:8" x14ac:dyDescent="0.3">
      <c r="A96" s="4" t="s">
        <v>110</v>
      </c>
      <c r="B96" s="4">
        <v>96</v>
      </c>
      <c r="C96" s="4" t="s">
        <v>377</v>
      </c>
      <c r="D96" s="4" t="s">
        <v>267</v>
      </c>
      <c r="E96" s="4">
        <v>81688</v>
      </c>
      <c r="F96" s="4">
        <v>78.709999999999994</v>
      </c>
      <c r="G96" s="4" t="s">
        <v>8</v>
      </c>
      <c r="H96" s="4" t="s">
        <v>83</v>
      </c>
    </row>
    <row r="97" spans="1:8" x14ac:dyDescent="0.3">
      <c r="A97" s="4" t="s">
        <v>111</v>
      </c>
      <c r="B97" s="4">
        <v>97</v>
      </c>
      <c r="C97" s="4" t="s">
        <v>379</v>
      </c>
      <c r="D97" s="4" t="s">
        <v>272</v>
      </c>
      <c r="E97" s="4">
        <v>100800</v>
      </c>
      <c r="F97" s="4">
        <v>78.849999999999994</v>
      </c>
      <c r="G97" s="4" t="s">
        <v>8</v>
      </c>
      <c r="H97" s="4" t="s">
        <v>83</v>
      </c>
    </row>
    <row r="98" spans="1:8" x14ac:dyDescent="0.3">
      <c r="A98" s="4" t="s">
        <v>112</v>
      </c>
      <c r="B98" s="4">
        <v>98</v>
      </c>
      <c r="C98" s="4" t="s">
        <v>380</v>
      </c>
      <c r="D98" s="4" t="s">
        <v>271</v>
      </c>
      <c r="E98" s="4">
        <v>67300</v>
      </c>
      <c r="F98" s="4">
        <v>66.239999999999995</v>
      </c>
      <c r="G98" s="4" t="s">
        <v>8</v>
      </c>
      <c r="H98" s="4" t="s">
        <v>114</v>
      </c>
    </row>
    <row r="99" spans="1:8" x14ac:dyDescent="0.3">
      <c r="A99" s="4" t="s">
        <v>115</v>
      </c>
      <c r="B99" s="4">
        <v>99</v>
      </c>
      <c r="C99" s="4" t="s">
        <v>381</v>
      </c>
      <c r="D99" s="4" t="s">
        <v>267</v>
      </c>
      <c r="E99" s="4">
        <v>100757</v>
      </c>
      <c r="F99" s="4">
        <v>69.36</v>
      </c>
      <c r="G99" s="4" t="s">
        <v>8</v>
      </c>
      <c r="H99" s="4" t="s">
        <v>114</v>
      </c>
    </row>
    <row r="100" spans="1:8" x14ac:dyDescent="0.3">
      <c r="A100" s="4" t="s">
        <v>116</v>
      </c>
      <c r="B100" s="4">
        <v>100</v>
      </c>
      <c r="C100" s="4" t="s">
        <v>382</v>
      </c>
      <c r="D100" s="4" t="s">
        <v>293</v>
      </c>
      <c r="E100" s="4">
        <v>78125</v>
      </c>
      <c r="F100" s="4">
        <v>75.260000000000005</v>
      </c>
      <c r="G100" s="4" t="s">
        <v>8</v>
      </c>
      <c r="H100" s="4" t="s">
        <v>114</v>
      </c>
    </row>
    <row r="101" spans="1:8" x14ac:dyDescent="0.3">
      <c r="A101" s="4" t="s">
        <v>117</v>
      </c>
      <c r="B101" s="4">
        <v>101</v>
      </c>
      <c r="C101" s="4" t="s">
        <v>383</v>
      </c>
      <c r="D101" s="4" t="s">
        <v>267</v>
      </c>
      <c r="E101" s="4">
        <v>89986</v>
      </c>
      <c r="F101" s="4">
        <v>74.150000000000006</v>
      </c>
      <c r="G101" s="4" t="s">
        <v>10</v>
      </c>
      <c r="H101" s="4" t="s">
        <v>114</v>
      </c>
    </row>
    <row r="102" spans="1:8" x14ac:dyDescent="0.3">
      <c r="A102" s="4" t="s">
        <v>118</v>
      </c>
      <c r="B102" s="4">
        <v>102</v>
      </c>
      <c r="C102" s="4" t="s">
        <v>384</v>
      </c>
      <c r="D102" s="4" t="s">
        <v>267</v>
      </c>
      <c r="E102" s="4">
        <v>94197</v>
      </c>
      <c r="F102" s="4">
        <v>77.19</v>
      </c>
      <c r="G102" s="4" t="s">
        <v>8</v>
      </c>
      <c r="H102" s="4" t="s">
        <v>114</v>
      </c>
    </row>
    <row r="103" spans="1:8" x14ac:dyDescent="0.3">
      <c r="A103" s="4" t="s">
        <v>119</v>
      </c>
      <c r="B103" s="4">
        <v>103</v>
      </c>
      <c r="C103" s="4" t="s">
        <v>385</v>
      </c>
      <c r="D103" s="4" t="s">
        <v>272</v>
      </c>
      <c r="E103" s="4">
        <v>85125</v>
      </c>
      <c r="F103" s="4">
        <v>82.6</v>
      </c>
      <c r="G103" s="4" t="s">
        <v>8</v>
      </c>
      <c r="H103" s="4" t="s">
        <v>114</v>
      </c>
    </row>
    <row r="104" spans="1:8" x14ac:dyDescent="0.3">
      <c r="A104" s="4" t="s">
        <v>120</v>
      </c>
      <c r="B104" s="4">
        <v>104</v>
      </c>
      <c r="C104" s="4" t="s">
        <v>386</v>
      </c>
      <c r="D104" s="4" t="s">
        <v>272</v>
      </c>
      <c r="E104" s="4">
        <v>100915</v>
      </c>
      <c r="F104" s="4">
        <v>83.5</v>
      </c>
      <c r="G104" s="4" t="s">
        <v>8</v>
      </c>
      <c r="H104" s="4" t="s">
        <v>114</v>
      </c>
    </row>
    <row r="105" spans="1:8" x14ac:dyDescent="0.3">
      <c r="A105" s="4" t="s">
        <v>121</v>
      </c>
      <c r="B105" s="4">
        <v>105</v>
      </c>
      <c r="C105" s="4" t="s">
        <v>387</v>
      </c>
      <c r="D105" s="4" t="s">
        <v>267</v>
      </c>
      <c r="E105" s="4">
        <v>79096</v>
      </c>
      <c r="F105" s="4">
        <v>79.69</v>
      </c>
      <c r="G105" s="4" t="s">
        <v>8</v>
      </c>
      <c r="H105" s="4" t="s">
        <v>114</v>
      </c>
    </row>
    <row r="106" spans="1:8" x14ac:dyDescent="0.3">
      <c r="A106" s="4" t="s">
        <v>122</v>
      </c>
      <c r="B106" s="4">
        <v>106</v>
      </c>
      <c r="C106" s="4" t="s">
        <v>388</v>
      </c>
      <c r="D106" s="4" t="s">
        <v>272</v>
      </c>
      <c r="E106" s="4">
        <v>108608</v>
      </c>
      <c r="F106" s="4">
        <v>82.52</v>
      </c>
      <c r="G106" s="4" t="s">
        <v>8</v>
      </c>
      <c r="H106" s="4" t="s">
        <v>114</v>
      </c>
    </row>
    <row r="107" spans="1:8" x14ac:dyDescent="0.3">
      <c r="A107" s="4" t="s">
        <v>124</v>
      </c>
      <c r="B107" s="4">
        <v>107</v>
      </c>
      <c r="C107" s="4" t="s">
        <v>389</v>
      </c>
      <c r="D107" s="4" t="s">
        <v>272</v>
      </c>
      <c r="E107" s="4">
        <v>99181</v>
      </c>
      <c r="F107" s="4">
        <v>77.37</v>
      </c>
      <c r="G107" s="4" t="s">
        <v>10</v>
      </c>
      <c r="H107" s="4" t="s">
        <v>114</v>
      </c>
    </row>
    <row r="108" spans="1:8" x14ac:dyDescent="0.3">
      <c r="A108" s="4" t="s">
        <v>125</v>
      </c>
      <c r="B108" s="4">
        <v>108</v>
      </c>
      <c r="C108" s="4" t="s">
        <v>390</v>
      </c>
      <c r="D108" s="4" t="s">
        <v>271</v>
      </c>
      <c r="E108" s="4">
        <v>65530</v>
      </c>
      <c r="F108" s="4">
        <v>67.819999999999993</v>
      </c>
      <c r="G108" s="4" t="s">
        <v>8</v>
      </c>
      <c r="H108" s="4" t="s">
        <v>114</v>
      </c>
    </row>
    <row r="109" spans="1:8" x14ac:dyDescent="0.3">
      <c r="A109" s="4" t="s">
        <v>126</v>
      </c>
      <c r="B109" s="4">
        <v>109</v>
      </c>
      <c r="C109" s="4" t="s">
        <v>391</v>
      </c>
      <c r="D109" s="4" t="s">
        <v>272</v>
      </c>
      <c r="E109" s="4">
        <v>64496</v>
      </c>
      <c r="F109" s="4">
        <v>72.150000000000006</v>
      </c>
      <c r="G109" s="4" t="s">
        <v>10</v>
      </c>
      <c r="H109" s="4" t="s">
        <v>114</v>
      </c>
    </row>
    <row r="110" spans="1:8" x14ac:dyDescent="0.3">
      <c r="A110" s="4" t="s">
        <v>127</v>
      </c>
      <c r="B110" s="4">
        <v>110</v>
      </c>
      <c r="C110" s="4" t="s">
        <v>392</v>
      </c>
      <c r="D110" s="4" t="s">
        <v>267</v>
      </c>
      <c r="E110" s="4">
        <v>61820</v>
      </c>
      <c r="F110" s="4">
        <v>69.790000000000006</v>
      </c>
      <c r="G110" s="4" t="s">
        <v>8</v>
      </c>
      <c r="H110" s="4" t="s">
        <v>114</v>
      </c>
    </row>
    <row r="111" spans="1:8" x14ac:dyDescent="0.3">
      <c r="A111" s="4" t="s">
        <v>128</v>
      </c>
      <c r="B111" s="4">
        <v>111</v>
      </c>
      <c r="C111" s="4" t="s">
        <v>393</v>
      </c>
      <c r="D111" s="4" t="s">
        <v>272</v>
      </c>
      <c r="E111" s="4">
        <v>105231</v>
      </c>
      <c r="F111" s="4">
        <v>75.14</v>
      </c>
      <c r="G111" s="4" t="s">
        <v>8</v>
      </c>
      <c r="H111" s="4" t="s">
        <v>114</v>
      </c>
    </row>
    <row r="112" spans="1:8" x14ac:dyDescent="0.3">
      <c r="A112" s="4" t="s">
        <v>129</v>
      </c>
      <c r="B112" s="4">
        <v>112</v>
      </c>
      <c r="C112" s="4" t="s">
        <v>394</v>
      </c>
      <c r="D112" s="4" t="s">
        <v>272</v>
      </c>
      <c r="E112" s="4">
        <v>117284</v>
      </c>
      <c r="F112" s="4">
        <v>75.180000000000007</v>
      </c>
      <c r="G112" s="4" t="s">
        <v>10</v>
      </c>
      <c r="H112" s="4" t="s">
        <v>114</v>
      </c>
    </row>
    <row r="113" spans="1:8" x14ac:dyDescent="0.3">
      <c r="A113" s="4" t="s">
        <v>130</v>
      </c>
      <c r="B113" s="4">
        <v>113</v>
      </c>
      <c r="C113" s="4" t="s">
        <v>395</v>
      </c>
      <c r="D113" s="4" t="s">
        <v>272</v>
      </c>
      <c r="E113" s="4">
        <v>113384</v>
      </c>
      <c r="F113" s="4">
        <v>62.44</v>
      </c>
      <c r="G113" s="4" t="s">
        <v>8</v>
      </c>
      <c r="H113" s="4" t="s">
        <v>114</v>
      </c>
    </row>
    <row r="114" spans="1:8" x14ac:dyDescent="0.3">
      <c r="A114" s="4" t="s">
        <v>131</v>
      </c>
      <c r="B114" s="4">
        <v>114</v>
      </c>
      <c r="C114" s="4" t="s">
        <v>396</v>
      </c>
      <c r="D114" s="4" t="s">
        <v>267</v>
      </c>
      <c r="E114" s="4">
        <v>75535</v>
      </c>
      <c r="F114" s="4">
        <v>62.74</v>
      </c>
      <c r="G114" s="4" t="s">
        <v>8</v>
      </c>
      <c r="H114" s="4" t="s">
        <v>114</v>
      </c>
    </row>
    <row r="115" spans="1:8" x14ac:dyDescent="0.3">
      <c r="A115" s="4" t="s">
        <v>133</v>
      </c>
      <c r="B115" s="4">
        <v>115</v>
      </c>
      <c r="C115" s="4" t="s">
        <v>397</v>
      </c>
      <c r="D115" s="4" t="s">
        <v>272</v>
      </c>
      <c r="E115" s="4">
        <v>126903</v>
      </c>
      <c r="F115" s="4">
        <v>66.7</v>
      </c>
      <c r="G115" s="4" t="s">
        <v>8</v>
      </c>
      <c r="H115" s="4" t="s">
        <v>114</v>
      </c>
    </row>
    <row r="116" spans="1:8" x14ac:dyDescent="0.3">
      <c r="A116" s="4" t="s">
        <v>134</v>
      </c>
      <c r="B116" s="4">
        <v>116</v>
      </c>
      <c r="C116" s="4" t="s">
        <v>398</v>
      </c>
      <c r="D116" s="4" t="s">
        <v>272</v>
      </c>
      <c r="E116" s="4">
        <v>118968</v>
      </c>
      <c r="F116" s="4">
        <v>75.569999999999993</v>
      </c>
      <c r="G116" s="4" t="s">
        <v>8</v>
      </c>
      <c r="H116" s="4" t="s">
        <v>114</v>
      </c>
    </row>
    <row r="117" spans="1:8" x14ac:dyDescent="0.3">
      <c r="A117" s="4" t="s">
        <v>135</v>
      </c>
      <c r="B117" s="4">
        <v>117</v>
      </c>
      <c r="C117" s="4" t="s">
        <v>399</v>
      </c>
      <c r="D117" s="4" t="s">
        <v>272</v>
      </c>
      <c r="E117" s="4">
        <v>135669</v>
      </c>
      <c r="F117" s="4">
        <v>66.13</v>
      </c>
      <c r="G117" s="4" t="s">
        <v>8</v>
      </c>
      <c r="H117" s="4" t="s">
        <v>114</v>
      </c>
    </row>
    <row r="118" spans="1:8" x14ac:dyDescent="0.3">
      <c r="A118" s="4" t="s">
        <v>137</v>
      </c>
      <c r="B118" s="4">
        <v>118</v>
      </c>
      <c r="C118" s="4" t="s">
        <v>400</v>
      </c>
      <c r="D118" s="4" t="s">
        <v>272</v>
      </c>
      <c r="E118" s="4">
        <v>81454</v>
      </c>
      <c r="F118" s="4">
        <v>59.21</v>
      </c>
      <c r="G118" s="4" t="s">
        <v>8</v>
      </c>
      <c r="H118" s="4" t="s">
        <v>114</v>
      </c>
    </row>
    <row r="119" spans="1:8" x14ac:dyDescent="0.3">
      <c r="A119" s="4" t="s">
        <v>138</v>
      </c>
      <c r="B119" s="4">
        <v>119</v>
      </c>
      <c r="C119" s="4" t="s">
        <v>401</v>
      </c>
      <c r="D119" s="4" t="s">
        <v>272</v>
      </c>
      <c r="E119" s="4">
        <v>124225</v>
      </c>
      <c r="F119" s="4">
        <v>70.22</v>
      </c>
      <c r="G119" s="4" t="s">
        <v>8</v>
      </c>
      <c r="H119" s="4" t="s">
        <v>114</v>
      </c>
    </row>
    <row r="120" spans="1:8" x14ac:dyDescent="0.3">
      <c r="A120" s="4" t="s">
        <v>139</v>
      </c>
      <c r="B120" s="4">
        <v>120</v>
      </c>
      <c r="C120" s="4" t="s">
        <v>402</v>
      </c>
      <c r="D120" s="4" t="s">
        <v>293</v>
      </c>
      <c r="E120" s="4">
        <v>53209</v>
      </c>
      <c r="F120" s="4">
        <v>60.69</v>
      </c>
      <c r="G120" s="4" t="s">
        <v>8</v>
      </c>
      <c r="H120" s="4" t="s">
        <v>114</v>
      </c>
    </row>
    <row r="121" spans="1:8" x14ac:dyDescent="0.3">
      <c r="A121" s="4" t="s">
        <v>140</v>
      </c>
      <c r="B121" s="4">
        <v>121</v>
      </c>
      <c r="C121" s="4" t="s">
        <v>403</v>
      </c>
      <c r="D121" s="4" t="s">
        <v>272</v>
      </c>
      <c r="E121" s="4">
        <v>81244</v>
      </c>
      <c r="F121" s="4">
        <v>61.73</v>
      </c>
      <c r="G121" s="4" t="s">
        <v>8</v>
      </c>
      <c r="H121" s="4" t="s">
        <v>114</v>
      </c>
    </row>
    <row r="122" spans="1:8" x14ac:dyDescent="0.3">
      <c r="A122" s="4" t="s">
        <v>141</v>
      </c>
      <c r="B122" s="4">
        <v>122</v>
      </c>
      <c r="C122" s="4" t="s">
        <v>404</v>
      </c>
      <c r="D122" s="4" t="s">
        <v>272</v>
      </c>
      <c r="E122" s="4">
        <v>101537</v>
      </c>
      <c r="F122" s="4">
        <v>70.64</v>
      </c>
      <c r="G122" s="4" t="s">
        <v>8</v>
      </c>
      <c r="H122" s="4" t="s">
        <v>114</v>
      </c>
    </row>
    <row r="123" spans="1:8" x14ac:dyDescent="0.3">
      <c r="A123" s="4" t="s">
        <v>142</v>
      </c>
      <c r="B123" s="4">
        <v>123</v>
      </c>
      <c r="C123" s="4" t="s">
        <v>405</v>
      </c>
      <c r="D123" s="4" t="s">
        <v>272</v>
      </c>
      <c r="E123" s="4">
        <v>80567</v>
      </c>
      <c r="F123" s="4">
        <v>77.34</v>
      </c>
      <c r="G123" s="4" t="s">
        <v>8</v>
      </c>
      <c r="H123" s="4" t="s">
        <v>114</v>
      </c>
    </row>
    <row r="124" spans="1:8" x14ac:dyDescent="0.3">
      <c r="A124" s="4" t="s">
        <v>143</v>
      </c>
      <c r="B124" s="4">
        <v>124</v>
      </c>
      <c r="C124" s="4" t="s">
        <v>406</v>
      </c>
      <c r="D124" s="4" t="s">
        <v>272</v>
      </c>
      <c r="E124" s="4">
        <v>71672</v>
      </c>
      <c r="F124" s="4">
        <v>70.040000000000006</v>
      </c>
      <c r="G124" s="4" t="s">
        <v>10</v>
      </c>
      <c r="H124" s="4" t="s">
        <v>114</v>
      </c>
    </row>
    <row r="125" spans="1:8" x14ac:dyDescent="0.3">
      <c r="A125" s="4" t="s">
        <v>144</v>
      </c>
      <c r="B125" s="4">
        <v>125</v>
      </c>
      <c r="C125" s="4" t="s">
        <v>407</v>
      </c>
      <c r="D125" s="4" t="s">
        <v>272</v>
      </c>
      <c r="E125" s="4">
        <v>96893</v>
      </c>
      <c r="F125" s="4">
        <v>71.31</v>
      </c>
      <c r="G125" s="4" t="s">
        <v>8</v>
      </c>
      <c r="H125" s="4" t="s">
        <v>114</v>
      </c>
    </row>
    <row r="126" spans="1:8" x14ac:dyDescent="0.3">
      <c r="A126" s="4" t="s">
        <v>145</v>
      </c>
      <c r="B126" s="4">
        <v>126</v>
      </c>
      <c r="C126" s="4" t="s">
        <v>408</v>
      </c>
      <c r="D126" s="4" t="s">
        <v>272</v>
      </c>
      <c r="E126" s="4">
        <v>84313</v>
      </c>
      <c r="F126" s="4">
        <v>72.45</v>
      </c>
      <c r="G126" s="4" t="s">
        <v>8</v>
      </c>
      <c r="H126" s="4" t="s">
        <v>114</v>
      </c>
    </row>
    <row r="127" spans="1:8" x14ac:dyDescent="0.3">
      <c r="A127" s="4" t="s">
        <v>146</v>
      </c>
      <c r="B127" s="4">
        <v>127</v>
      </c>
      <c r="C127" s="4" t="s">
        <v>409</v>
      </c>
      <c r="D127" s="4" t="s">
        <v>267</v>
      </c>
      <c r="E127" s="4">
        <v>108566</v>
      </c>
      <c r="F127" s="4">
        <v>73.33</v>
      </c>
      <c r="G127" s="4" t="s">
        <v>8</v>
      </c>
      <c r="H127" s="4" t="s">
        <v>148</v>
      </c>
    </row>
    <row r="128" spans="1:8" x14ac:dyDescent="0.3">
      <c r="A128" s="4" t="s">
        <v>149</v>
      </c>
      <c r="B128" s="4">
        <v>128</v>
      </c>
      <c r="C128" s="4" t="s">
        <v>410</v>
      </c>
      <c r="D128" s="4" t="s">
        <v>267</v>
      </c>
      <c r="E128" s="4">
        <v>109970</v>
      </c>
      <c r="F128" s="4">
        <v>83.08</v>
      </c>
      <c r="G128" s="4" t="s">
        <v>8</v>
      </c>
      <c r="H128" s="4" t="s">
        <v>148</v>
      </c>
    </row>
    <row r="129" spans="1:8" x14ac:dyDescent="0.3">
      <c r="A129" s="4" t="s">
        <v>150</v>
      </c>
      <c r="B129" s="4">
        <v>129</v>
      </c>
      <c r="C129" s="4" t="s">
        <v>411</v>
      </c>
      <c r="D129" s="4" t="s">
        <v>267</v>
      </c>
      <c r="E129" s="4">
        <v>165809</v>
      </c>
      <c r="F129" s="4">
        <v>77.959999999999994</v>
      </c>
      <c r="G129" s="4" t="s">
        <v>8</v>
      </c>
      <c r="H129" s="4" t="s">
        <v>148</v>
      </c>
    </row>
    <row r="130" spans="1:8" x14ac:dyDescent="0.3">
      <c r="A130" s="4" t="s">
        <v>151</v>
      </c>
      <c r="B130" s="4">
        <v>130</v>
      </c>
      <c r="C130" s="4" t="s">
        <v>412</v>
      </c>
      <c r="D130" s="4" t="s">
        <v>272</v>
      </c>
      <c r="E130" s="4">
        <v>91461</v>
      </c>
      <c r="F130" s="4">
        <v>75.069999999999993</v>
      </c>
      <c r="G130" s="4" t="s">
        <v>10</v>
      </c>
      <c r="H130" s="4" t="s">
        <v>148</v>
      </c>
    </row>
    <row r="131" spans="1:8" x14ac:dyDescent="0.3">
      <c r="A131" s="4" t="s">
        <v>152</v>
      </c>
      <c r="B131" s="4">
        <v>131</v>
      </c>
      <c r="C131" s="4" t="s">
        <v>413</v>
      </c>
      <c r="D131" s="4" t="s">
        <v>272</v>
      </c>
      <c r="E131" s="4">
        <v>107762</v>
      </c>
      <c r="F131" s="4">
        <v>78.95</v>
      </c>
      <c r="G131" s="4" t="s">
        <v>8</v>
      </c>
      <c r="H131" s="4" t="s">
        <v>148</v>
      </c>
    </row>
    <row r="132" spans="1:8" x14ac:dyDescent="0.3">
      <c r="A132" s="4" t="s">
        <v>147</v>
      </c>
      <c r="B132" s="4">
        <v>132</v>
      </c>
      <c r="C132" s="4" t="s">
        <v>414</v>
      </c>
      <c r="D132" s="4" t="s">
        <v>272</v>
      </c>
      <c r="E132" s="4">
        <v>90595</v>
      </c>
      <c r="F132" s="4">
        <v>69.27</v>
      </c>
      <c r="G132" s="4" t="s">
        <v>8</v>
      </c>
      <c r="H132" s="4" t="s">
        <v>148</v>
      </c>
    </row>
    <row r="133" spans="1:8" x14ac:dyDescent="0.3">
      <c r="A133" s="4" t="s">
        <v>153</v>
      </c>
      <c r="B133" s="4">
        <v>133</v>
      </c>
      <c r="C133" s="4" t="s">
        <v>416</v>
      </c>
      <c r="D133" s="4" t="s">
        <v>267</v>
      </c>
      <c r="E133" s="4">
        <v>106481</v>
      </c>
      <c r="F133" s="4">
        <v>80.16</v>
      </c>
      <c r="G133" s="4" t="s">
        <v>8</v>
      </c>
      <c r="H133" s="4" t="s">
        <v>148</v>
      </c>
    </row>
    <row r="134" spans="1:8" x14ac:dyDescent="0.3">
      <c r="A134" s="4" t="s">
        <v>154</v>
      </c>
      <c r="B134" s="4">
        <v>134</v>
      </c>
      <c r="C134" s="4" t="s">
        <v>417</v>
      </c>
      <c r="D134" s="4" t="s">
        <v>267</v>
      </c>
      <c r="E134" s="4">
        <v>93369</v>
      </c>
      <c r="F134" s="4">
        <v>81.92</v>
      </c>
      <c r="G134" s="4" t="s">
        <v>8</v>
      </c>
      <c r="H134" s="4" t="s">
        <v>114</v>
      </c>
    </row>
    <row r="135" spans="1:8" x14ac:dyDescent="0.3">
      <c r="A135" s="4" t="s">
        <v>155</v>
      </c>
      <c r="B135" s="4">
        <v>135</v>
      </c>
      <c r="C135" s="4" t="s">
        <v>418</v>
      </c>
      <c r="D135" s="4" t="s">
        <v>267</v>
      </c>
      <c r="E135" s="4">
        <v>101757</v>
      </c>
      <c r="F135" s="4">
        <v>83.57</v>
      </c>
      <c r="G135" s="4" t="s">
        <v>8</v>
      </c>
      <c r="H135" s="4" t="s">
        <v>114</v>
      </c>
    </row>
    <row r="136" spans="1:8" x14ac:dyDescent="0.3">
      <c r="A136" s="4" t="s">
        <v>156</v>
      </c>
      <c r="B136" s="4">
        <v>136</v>
      </c>
      <c r="C136" s="4" t="s">
        <v>419</v>
      </c>
      <c r="D136" s="4" t="s">
        <v>267</v>
      </c>
      <c r="E136" s="4">
        <v>96540</v>
      </c>
      <c r="F136" s="4">
        <v>84.17</v>
      </c>
      <c r="G136" s="4" t="s">
        <v>10</v>
      </c>
      <c r="H136" s="4" t="s">
        <v>114</v>
      </c>
    </row>
    <row r="137" spans="1:8" x14ac:dyDescent="0.3">
      <c r="A137" s="4" t="s">
        <v>157</v>
      </c>
      <c r="B137" s="4">
        <v>137</v>
      </c>
      <c r="C137" s="4" t="s">
        <v>420</v>
      </c>
      <c r="D137" s="4" t="s">
        <v>267</v>
      </c>
      <c r="E137" s="4">
        <v>100829</v>
      </c>
      <c r="F137" s="4">
        <v>86.16</v>
      </c>
      <c r="G137" s="4" t="s">
        <v>8</v>
      </c>
      <c r="H137" s="4" t="s">
        <v>114</v>
      </c>
    </row>
    <row r="138" spans="1:8" x14ac:dyDescent="0.3">
      <c r="A138" s="4" t="s">
        <v>158</v>
      </c>
      <c r="B138" s="4">
        <v>138</v>
      </c>
      <c r="C138" s="4" t="s">
        <v>421</v>
      </c>
      <c r="D138" s="4" t="s">
        <v>267</v>
      </c>
      <c r="E138" s="4">
        <v>98077</v>
      </c>
      <c r="F138" s="4">
        <v>76.02</v>
      </c>
      <c r="G138" s="4" t="s">
        <v>8</v>
      </c>
      <c r="H138" s="4" t="s">
        <v>160</v>
      </c>
    </row>
    <row r="139" spans="1:8" x14ac:dyDescent="0.3">
      <c r="A139" s="4" t="s">
        <v>161</v>
      </c>
      <c r="B139" s="4">
        <v>139</v>
      </c>
      <c r="C139" s="4" t="s">
        <v>422</v>
      </c>
      <c r="D139" s="4" t="s">
        <v>267</v>
      </c>
      <c r="E139" s="4">
        <v>113904</v>
      </c>
      <c r="F139" s="4">
        <v>76.150000000000006</v>
      </c>
      <c r="G139" s="4" t="s">
        <v>8</v>
      </c>
      <c r="H139" s="4" t="s">
        <v>160</v>
      </c>
    </row>
    <row r="140" spans="1:8" x14ac:dyDescent="0.3">
      <c r="A140" s="4" t="s">
        <v>162</v>
      </c>
      <c r="B140" s="4">
        <v>140</v>
      </c>
      <c r="C140" s="4" t="s">
        <v>423</v>
      </c>
      <c r="D140" s="4" t="s">
        <v>267</v>
      </c>
      <c r="E140" s="4">
        <v>118133</v>
      </c>
      <c r="F140" s="4">
        <v>67.010000000000005</v>
      </c>
      <c r="G140" s="4" t="s">
        <v>8</v>
      </c>
      <c r="H140" s="4" t="s">
        <v>160</v>
      </c>
    </row>
    <row r="141" spans="1:8" x14ac:dyDescent="0.3">
      <c r="A141" s="4" t="s">
        <v>163</v>
      </c>
      <c r="B141" s="4">
        <v>141</v>
      </c>
      <c r="C141" s="4" t="s">
        <v>424</v>
      </c>
      <c r="D141" s="4" t="s">
        <v>267</v>
      </c>
      <c r="E141" s="4">
        <v>94302</v>
      </c>
      <c r="F141" s="4">
        <v>66.87</v>
      </c>
      <c r="G141" s="4" t="s">
        <v>8</v>
      </c>
      <c r="H141" s="4" t="s">
        <v>160</v>
      </c>
    </row>
    <row r="142" spans="1:8" x14ac:dyDescent="0.3">
      <c r="A142" s="4" t="s">
        <v>164</v>
      </c>
      <c r="B142" s="4">
        <v>142</v>
      </c>
      <c r="C142" s="4" t="s">
        <v>425</v>
      </c>
      <c r="D142" s="4" t="s">
        <v>267</v>
      </c>
      <c r="E142" s="4">
        <v>105424</v>
      </c>
      <c r="F142" s="4">
        <v>66.59</v>
      </c>
      <c r="G142" s="4" t="s">
        <v>8</v>
      </c>
      <c r="H142" s="4" t="s">
        <v>160</v>
      </c>
    </row>
    <row r="143" spans="1:8" x14ac:dyDescent="0.3">
      <c r="A143" s="4" t="s">
        <v>165</v>
      </c>
      <c r="B143" s="4">
        <v>143</v>
      </c>
      <c r="C143" s="4" t="s">
        <v>426</v>
      </c>
      <c r="D143" s="4" t="s">
        <v>267</v>
      </c>
      <c r="E143" s="4">
        <v>84914</v>
      </c>
      <c r="F143" s="4">
        <v>79.23</v>
      </c>
      <c r="G143" s="4" t="s">
        <v>8</v>
      </c>
      <c r="H143" s="4" t="s">
        <v>160</v>
      </c>
    </row>
    <row r="144" spans="1:8" x14ac:dyDescent="0.3">
      <c r="A144" s="4" t="s">
        <v>166</v>
      </c>
      <c r="B144" s="4">
        <v>144</v>
      </c>
      <c r="C144" s="4" t="s">
        <v>427</v>
      </c>
      <c r="D144" s="4" t="s">
        <v>267</v>
      </c>
      <c r="E144" s="4">
        <v>116334</v>
      </c>
      <c r="F144" s="4">
        <v>79.63</v>
      </c>
      <c r="G144" s="4" t="s">
        <v>8</v>
      </c>
      <c r="H144" s="4" t="s">
        <v>160</v>
      </c>
    </row>
    <row r="145" spans="1:8" x14ac:dyDescent="0.3">
      <c r="A145" s="4" t="s">
        <v>167</v>
      </c>
      <c r="B145" s="4">
        <v>145</v>
      </c>
      <c r="C145" s="4" t="s">
        <v>428</v>
      </c>
      <c r="D145" s="4" t="s">
        <v>267</v>
      </c>
      <c r="E145" s="4">
        <v>90624</v>
      </c>
      <c r="F145" s="4">
        <v>75.98</v>
      </c>
      <c r="G145" s="4" t="s">
        <v>8</v>
      </c>
      <c r="H145" s="4" t="s">
        <v>160</v>
      </c>
    </row>
    <row r="146" spans="1:8" x14ac:dyDescent="0.3">
      <c r="A146" s="4" t="s">
        <v>168</v>
      </c>
      <c r="B146" s="4">
        <v>146</v>
      </c>
      <c r="C146" s="4" t="s">
        <v>429</v>
      </c>
      <c r="D146" s="4" t="s">
        <v>267</v>
      </c>
      <c r="E146" s="4">
        <v>87786</v>
      </c>
      <c r="F146" s="4">
        <v>76.63</v>
      </c>
      <c r="G146" s="4" t="s">
        <v>10</v>
      </c>
      <c r="H146" s="4" t="s">
        <v>160</v>
      </c>
    </row>
    <row r="147" spans="1:8" x14ac:dyDescent="0.3">
      <c r="A147" s="4" t="s">
        <v>169</v>
      </c>
      <c r="B147" s="4">
        <v>147</v>
      </c>
      <c r="C147" s="4" t="s">
        <v>430</v>
      </c>
      <c r="D147" s="4" t="s">
        <v>267</v>
      </c>
      <c r="E147" s="4">
        <v>122090</v>
      </c>
      <c r="F147" s="4">
        <v>78.2</v>
      </c>
      <c r="G147" s="4" t="s">
        <v>10</v>
      </c>
      <c r="H147" s="4" t="s">
        <v>83</v>
      </c>
    </row>
    <row r="148" spans="1:8" x14ac:dyDescent="0.3">
      <c r="A148" s="4" t="s">
        <v>170</v>
      </c>
      <c r="B148" s="4">
        <v>148</v>
      </c>
      <c r="C148" s="4" t="s">
        <v>431</v>
      </c>
      <c r="D148" s="4" t="s">
        <v>267</v>
      </c>
      <c r="E148" s="4">
        <v>103922</v>
      </c>
      <c r="F148" s="4">
        <v>80.05</v>
      </c>
      <c r="G148" s="4" t="s">
        <v>8</v>
      </c>
      <c r="H148" s="4" t="s">
        <v>83</v>
      </c>
    </row>
    <row r="149" spans="1:8" x14ac:dyDescent="0.3">
      <c r="A149" s="4" t="s">
        <v>171</v>
      </c>
      <c r="B149" s="4">
        <v>149</v>
      </c>
      <c r="C149" s="4" t="s">
        <v>432</v>
      </c>
      <c r="D149" s="4" t="s">
        <v>267</v>
      </c>
      <c r="E149" s="4">
        <v>103975</v>
      </c>
      <c r="F149" s="4">
        <v>84.54</v>
      </c>
      <c r="G149" s="4" t="s">
        <v>8</v>
      </c>
      <c r="H149" s="4" t="s">
        <v>83</v>
      </c>
    </row>
    <row r="150" spans="1:8" x14ac:dyDescent="0.3">
      <c r="A150" s="4" t="s">
        <v>172</v>
      </c>
      <c r="B150" s="4">
        <v>150</v>
      </c>
      <c r="C150" s="4" t="s">
        <v>434</v>
      </c>
      <c r="D150" s="4" t="s">
        <v>267</v>
      </c>
      <c r="E150" s="4">
        <v>99529</v>
      </c>
      <c r="F150" s="4">
        <v>80.38</v>
      </c>
      <c r="G150" s="4" t="s">
        <v>8</v>
      </c>
      <c r="H150" s="4" t="s">
        <v>83</v>
      </c>
    </row>
    <row r="151" spans="1:8" x14ac:dyDescent="0.3">
      <c r="A151" s="4" t="s">
        <v>173</v>
      </c>
      <c r="B151" s="4">
        <v>151</v>
      </c>
      <c r="C151" s="4" t="s">
        <v>435</v>
      </c>
      <c r="D151" s="4" t="s">
        <v>267</v>
      </c>
      <c r="E151" s="4">
        <v>83726</v>
      </c>
      <c r="F151" s="4">
        <v>76.3</v>
      </c>
      <c r="G151" s="4" t="s">
        <v>10</v>
      </c>
      <c r="H151" s="4" t="s">
        <v>83</v>
      </c>
    </row>
    <row r="152" spans="1:8" x14ac:dyDescent="0.3">
      <c r="A152" s="4" t="s">
        <v>175</v>
      </c>
      <c r="B152" s="4">
        <v>152</v>
      </c>
      <c r="C152" s="4" t="s">
        <v>436</v>
      </c>
      <c r="D152" s="4" t="s">
        <v>271</v>
      </c>
      <c r="E152" s="4">
        <v>77064</v>
      </c>
      <c r="F152" s="4">
        <v>77.02</v>
      </c>
      <c r="G152" s="4" t="s">
        <v>8</v>
      </c>
      <c r="H152" s="4" t="s">
        <v>83</v>
      </c>
    </row>
    <row r="153" spans="1:8" x14ac:dyDescent="0.3">
      <c r="A153" s="4" t="s">
        <v>176</v>
      </c>
      <c r="B153" s="4">
        <v>153</v>
      </c>
      <c r="C153" s="4" t="s">
        <v>437</v>
      </c>
      <c r="D153" s="4" t="s">
        <v>267</v>
      </c>
      <c r="E153" s="4">
        <v>75177</v>
      </c>
      <c r="F153" s="4">
        <v>74.25</v>
      </c>
      <c r="G153" s="4" t="s">
        <v>8</v>
      </c>
      <c r="H153" s="4" t="s">
        <v>83</v>
      </c>
    </row>
    <row r="154" spans="1:8" x14ac:dyDescent="0.3">
      <c r="A154" s="4" t="s">
        <v>177</v>
      </c>
      <c r="B154" s="4">
        <v>154</v>
      </c>
      <c r="C154" s="4" t="s">
        <v>438</v>
      </c>
      <c r="D154" s="4" t="s">
        <v>267</v>
      </c>
      <c r="E154" s="4">
        <v>93801</v>
      </c>
      <c r="F154" s="4">
        <v>79.599999999999994</v>
      </c>
      <c r="G154" s="4" t="s">
        <v>8</v>
      </c>
      <c r="H154" s="4" t="s">
        <v>83</v>
      </c>
    </row>
    <row r="155" spans="1:8" x14ac:dyDescent="0.3">
      <c r="A155" s="4" t="s">
        <v>174</v>
      </c>
      <c r="B155" s="4">
        <v>155</v>
      </c>
      <c r="C155" s="4" t="s">
        <v>439</v>
      </c>
      <c r="D155" s="4" t="s">
        <v>267</v>
      </c>
      <c r="E155" s="4">
        <v>84563</v>
      </c>
      <c r="F155" s="4">
        <v>74.77</v>
      </c>
      <c r="G155" s="4" t="s">
        <v>8</v>
      </c>
      <c r="H155" s="4" t="s">
        <v>83</v>
      </c>
    </row>
    <row r="156" spans="1:8" x14ac:dyDescent="0.3">
      <c r="A156" s="4" t="s">
        <v>178</v>
      </c>
      <c r="B156" s="4">
        <v>156</v>
      </c>
      <c r="C156" s="4" t="s">
        <v>440</v>
      </c>
      <c r="D156" s="4" t="s">
        <v>267</v>
      </c>
      <c r="E156" s="4">
        <v>101456</v>
      </c>
      <c r="F156" s="4">
        <v>82.06</v>
      </c>
      <c r="G156" s="4" t="s">
        <v>8</v>
      </c>
      <c r="H156" s="4" t="s">
        <v>83</v>
      </c>
    </row>
    <row r="157" spans="1:8" x14ac:dyDescent="0.3">
      <c r="A157" s="4" t="s">
        <v>179</v>
      </c>
      <c r="B157" s="4">
        <v>157</v>
      </c>
      <c r="C157" s="4" t="s">
        <v>441</v>
      </c>
      <c r="D157" s="4" t="s">
        <v>272</v>
      </c>
      <c r="E157" s="4">
        <v>96453</v>
      </c>
      <c r="F157" s="4">
        <v>78.569999999999993</v>
      </c>
      <c r="G157" s="4" t="s">
        <v>8</v>
      </c>
      <c r="H157" s="4" t="s">
        <v>83</v>
      </c>
    </row>
    <row r="158" spans="1:8" x14ac:dyDescent="0.3">
      <c r="A158" s="4" t="s">
        <v>180</v>
      </c>
      <c r="B158" s="4">
        <v>158</v>
      </c>
      <c r="C158" s="4" t="s">
        <v>442</v>
      </c>
      <c r="D158" s="4" t="s">
        <v>272</v>
      </c>
      <c r="E158" s="4">
        <v>91961</v>
      </c>
      <c r="F158" s="4">
        <v>71.930000000000007</v>
      </c>
      <c r="G158" s="4" t="s">
        <v>8</v>
      </c>
      <c r="H158" s="4" t="s">
        <v>83</v>
      </c>
    </row>
    <row r="159" spans="1:8" x14ac:dyDescent="0.3">
      <c r="A159" s="4" t="s">
        <v>181</v>
      </c>
      <c r="B159" s="4">
        <v>159</v>
      </c>
      <c r="C159" s="4" t="s">
        <v>443</v>
      </c>
      <c r="D159" s="4" t="s">
        <v>311</v>
      </c>
      <c r="E159" s="4">
        <v>86056</v>
      </c>
      <c r="F159" s="4">
        <v>75.87</v>
      </c>
      <c r="G159" s="4" t="s">
        <v>10</v>
      </c>
      <c r="H159" s="4" t="s">
        <v>83</v>
      </c>
    </row>
    <row r="160" spans="1:8" x14ac:dyDescent="0.3">
      <c r="A160" s="4" t="s">
        <v>182</v>
      </c>
      <c r="B160" s="4">
        <v>160</v>
      </c>
      <c r="C160" s="4" t="s">
        <v>444</v>
      </c>
      <c r="D160" s="4" t="s">
        <v>267</v>
      </c>
      <c r="E160" s="4">
        <v>94057</v>
      </c>
      <c r="F160" s="4">
        <v>74.91</v>
      </c>
      <c r="G160" s="4" t="s">
        <v>10</v>
      </c>
      <c r="H160" s="4" t="s">
        <v>160</v>
      </c>
    </row>
    <row r="161" spans="1:8" x14ac:dyDescent="0.3">
      <c r="A161" s="4" t="s">
        <v>184</v>
      </c>
      <c r="B161" s="4">
        <v>161</v>
      </c>
      <c r="C161" s="4" t="s">
        <v>445</v>
      </c>
      <c r="D161" s="4" t="s">
        <v>271</v>
      </c>
      <c r="E161" s="4">
        <v>73642</v>
      </c>
      <c r="F161" s="4">
        <v>70.14</v>
      </c>
      <c r="G161" s="4" t="s">
        <v>8</v>
      </c>
      <c r="H161" s="4" t="s">
        <v>160</v>
      </c>
    </row>
    <row r="162" spans="1:8" x14ac:dyDescent="0.3">
      <c r="A162" s="4" t="s">
        <v>185</v>
      </c>
      <c r="B162" s="4">
        <v>162</v>
      </c>
      <c r="C162" s="4" t="s">
        <v>446</v>
      </c>
      <c r="D162" s="4" t="s">
        <v>267</v>
      </c>
      <c r="E162" s="4">
        <v>96102</v>
      </c>
      <c r="F162" s="4">
        <v>75.19</v>
      </c>
      <c r="G162" s="4" t="s">
        <v>8</v>
      </c>
      <c r="H162" s="4" t="s">
        <v>160</v>
      </c>
    </row>
    <row r="163" spans="1:8" x14ac:dyDescent="0.3">
      <c r="A163" s="4" t="s">
        <v>183</v>
      </c>
      <c r="B163" s="4">
        <v>163</v>
      </c>
      <c r="C163" s="4" t="s">
        <v>447</v>
      </c>
      <c r="D163" s="4" t="s">
        <v>311</v>
      </c>
      <c r="E163" s="4">
        <v>66281</v>
      </c>
      <c r="F163" s="4">
        <v>71.97</v>
      </c>
      <c r="G163" s="4" t="s">
        <v>8</v>
      </c>
      <c r="H163" s="4" t="s">
        <v>160</v>
      </c>
    </row>
    <row r="164" spans="1:8" x14ac:dyDescent="0.3">
      <c r="A164" s="4" t="s">
        <v>186</v>
      </c>
      <c r="B164" s="4">
        <v>164</v>
      </c>
      <c r="C164" s="4" t="s">
        <v>448</v>
      </c>
      <c r="D164" s="4" t="s">
        <v>341</v>
      </c>
      <c r="E164" s="4">
        <v>67988</v>
      </c>
      <c r="F164" s="4">
        <v>79.430000000000007</v>
      </c>
      <c r="G164" s="4" t="s">
        <v>10</v>
      </c>
      <c r="H164" s="4" t="s">
        <v>160</v>
      </c>
    </row>
    <row r="165" spans="1:8" x14ac:dyDescent="0.3">
      <c r="A165" s="4" t="s">
        <v>187</v>
      </c>
      <c r="B165" s="4">
        <v>165</v>
      </c>
      <c r="C165" s="4" t="s">
        <v>449</v>
      </c>
      <c r="D165" s="4" t="s">
        <v>272</v>
      </c>
      <c r="E165" s="4">
        <v>78719</v>
      </c>
      <c r="F165" s="4">
        <v>80.599999999999994</v>
      </c>
      <c r="G165" s="4" t="s">
        <v>8</v>
      </c>
      <c r="H165" s="4" t="s">
        <v>160</v>
      </c>
    </row>
    <row r="166" spans="1:8" x14ac:dyDescent="0.3">
      <c r="A166" s="4" t="s">
        <v>188</v>
      </c>
      <c r="B166" s="4">
        <v>166</v>
      </c>
      <c r="C166" s="4" t="s">
        <v>450</v>
      </c>
      <c r="D166" s="4" t="s">
        <v>335</v>
      </c>
      <c r="E166" s="4">
        <v>97092</v>
      </c>
      <c r="F166" s="4">
        <v>76.739999999999995</v>
      </c>
      <c r="G166" s="4" t="s">
        <v>10</v>
      </c>
      <c r="H166" s="4" t="s">
        <v>160</v>
      </c>
    </row>
    <row r="167" spans="1:8" x14ac:dyDescent="0.3">
      <c r="A167" s="4" t="s">
        <v>190</v>
      </c>
      <c r="B167" s="4">
        <v>167</v>
      </c>
      <c r="C167" s="4" t="s">
        <v>451</v>
      </c>
      <c r="D167" s="4" t="s">
        <v>267</v>
      </c>
      <c r="E167" s="4">
        <v>87172</v>
      </c>
      <c r="F167" s="4">
        <v>74.34</v>
      </c>
      <c r="G167" s="4" t="s">
        <v>8</v>
      </c>
      <c r="H167" s="4" t="s">
        <v>160</v>
      </c>
    </row>
    <row r="168" spans="1:8" x14ac:dyDescent="0.3">
      <c r="A168" s="4" t="s">
        <v>191</v>
      </c>
      <c r="B168" s="4">
        <v>168</v>
      </c>
      <c r="C168" s="4" t="s">
        <v>452</v>
      </c>
      <c r="D168" s="4" t="s">
        <v>267</v>
      </c>
      <c r="E168" s="4">
        <v>108906</v>
      </c>
      <c r="F168" s="4">
        <v>73.25</v>
      </c>
      <c r="G168" s="4" t="s">
        <v>8</v>
      </c>
      <c r="H168" s="4" t="s">
        <v>160</v>
      </c>
    </row>
    <row r="169" spans="1:8" x14ac:dyDescent="0.3">
      <c r="A169" s="4" t="s">
        <v>192</v>
      </c>
      <c r="B169" s="4">
        <v>169</v>
      </c>
      <c r="C169" s="4" t="s">
        <v>453</v>
      </c>
      <c r="D169" s="4" t="s">
        <v>272</v>
      </c>
      <c r="E169" s="4">
        <v>103637</v>
      </c>
      <c r="F169" s="4">
        <v>81.08</v>
      </c>
      <c r="G169" s="4" t="s">
        <v>8</v>
      </c>
      <c r="H169" s="4" t="s">
        <v>160</v>
      </c>
    </row>
    <row r="170" spans="1:8" x14ac:dyDescent="0.3">
      <c r="A170" s="4" t="s">
        <v>193</v>
      </c>
      <c r="B170" s="4">
        <v>170</v>
      </c>
      <c r="C170" s="4" t="s">
        <v>454</v>
      </c>
      <c r="D170" s="4" t="s">
        <v>267</v>
      </c>
      <c r="E170" s="4">
        <v>95763</v>
      </c>
      <c r="F170" s="4">
        <v>75.760000000000005</v>
      </c>
      <c r="G170" s="4" t="s">
        <v>10</v>
      </c>
      <c r="H170" s="4" t="s">
        <v>160</v>
      </c>
    </row>
    <row r="171" spans="1:8" x14ac:dyDescent="0.3">
      <c r="A171" s="4" t="s">
        <v>195</v>
      </c>
      <c r="B171" s="4">
        <v>171</v>
      </c>
      <c r="C171" s="4" t="s">
        <v>455</v>
      </c>
      <c r="D171" s="4" t="s">
        <v>267</v>
      </c>
      <c r="E171" s="4">
        <v>96057</v>
      </c>
      <c r="F171" s="4">
        <v>71.45</v>
      </c>
      <c r="G171" s="4" t="s">
        <v>8</v>
      </c>
      <c r="H171" s="4" t="s">
        <v>160</v>
      </c>
    </row>
    <row r="172" spans="1:8" x14ac:dyDescent="0.3">
      <c r="A172" s="4" t="s">
        <v>196</v>
      </c>
      <c r="B172" s="4">
        <v>172</v>
      </c>
      <c r="C172" s="4" t="s">
        <v>456</v>
      </c>
      <c r="D172" s="4" t="s">
        <v>267</v>
      </c>
      <c r="E172" s="4">
        <v>86567</v>
      </c>
      <c r="F172" s="4">
        <v>74.760000000000005</v>
      </c>
      <c r="G172" s="4" t="s">
        <v>8</v>
      </c>
      <c r="H172" s="4" t="s">
        <v>160</v>
      </c>
    </row>
    <row r="173" spans="1:8" x14ac:dyDescent="0.3">
      <c r="A173" s="4" t="s">
        <v>197</v>
      </c>
      <c r="B173" s="4">
        <v>173</v>
      </c>
      <c r="C173" s="4" t="s">
        <v>457</v>
      </c>
      <c r="D173" s="4" t="s">
        <v>267</v>
      </c>
      <c r="E173" s="4">
        <v>103210</v>
      </c>
      <c r="F173" s="4">
        <v>78.11</v>
      </c>
      <c r="G173" s="4" t="s">
        <v>8</v>
      </c>
      <c r="H173" s="4" t="s">
        <v>160</v>
      </c>
    </row>
    <row r="174" spans="1:8" x14ac:dyDescent="0.3">
      <c r="A174" s="4" t="s">
        <v>194</v>
      </c>
      <c r="B174" s="4">
        <v>174</v>
      </c>
      <c r="C174" s="4" t="s">
        <v>458</v>
      </c>
      <c r="D174" s="4" t="s">
        <v>267</v>
      </c>
      <c r="E174" s="4">
        <v>103772</v>
      </c>
      <c r="F174" s="4">
        <v>65.72</v>
      </c>
      <c r="G174" s="4" t="s">
        <v>8</v>
      </c>
      <c r="H174" s="4" t="s">
        <v>160</v>
      </c>
    </row>
    <row r="175" spans="1:8" x14ac:dyDescent="0.3">
      <c r="A175" s="4" t="s">
        <v>198</v>
      </c>
      <c r="B175" s="4">
        <v>175</v>
      </c>
      <c r="C175" s="4" t="s">
        <v>459</v>
      </c>
      <c r="D175" s="4" t="s">
        <v>272</v>
      </c>
      <c r="E175" s="4">
        <v>90063</v>
      </c>
      <c r="F175" s="4">
        <v>78.290000000000006</v>
      </c>
      <c r="G175" s="4" t="s">
        <v>8</v>
      </c>
      <c r="H175" s="4" t="s">
        <v>160</v>
      </c>
    </row>
    <row r="176" spans="1:8" x14ac:dyDescent="0.3">
      <c r="A176" s="4" t="s">
        <v>199</v>
      </c>
      <c r="B176" s="4">
        <v>176</v>
      </c>
      <c r="C176" s="4" t="s">
        <v>460</v>
      </c>
      <c r="D176" s="4" t="s">
        <v>267</v>
      </c>
      <c r="E176" s="4">
        <v>79065</v>
      </c>
      <c r="F176" s="4">
        <v>71.66</v>
      </c>
      <c r="G176" s="4" t="s">
        <v>8</v>
      </c>
      <c r="H176" s="4" t="s">
        <v>160</v>
      </c>
    </row>
    <row r="177" spans="1:8" x14ac:dyDescent="0.3">
      <c r="A177" s="4" t="s">
        <v>200</v>
      </c>
      <c r="B177" s="4">
        <v>177</v>
      </c>
      <c r="C177" s="4" t="s">
        <v>461</v>
      </c>
      <c r="D177" s="4" t="s">
        <v>267</v>
      </c>
      <c r="E177" s="4">
        <v>89130</v>
      </c>
      <c r="F177" s="4">
        <v>77.02</v>
      </c>
      <c r="G177" s="4" t="s">
        <v>8</v>
      </c>
      <c r="H177" s="4" t="s">
        <v>160</v>
      </c>
    </row>
    <row r="178" spans="1:8" x14ac:dyDescent="0.3">
      <c r="A178" s="4" t="s">
        <v>201</v>
      </c>
      <c r="B178" s="4">
        <v>178</v>
      </c>
      <c r="C178" s="4" t="s">
        <v>462</v>
      </c>
      <c r="D178" s="4" t="s">
        <v>341</v>
      </c>
      <c r="E178" s="4">
        <v>69710</v>
      </c>
      <c r="F178" s="4">
        <v>74.45</v>
      </c>
      <c r="G178" s="4" t="s">
        <v>10</v>
      </c>
      <c r="H178" s="4" t="s">
        <v>160</v>
      </c>
    </row>
    <row r="179" spans="1:8" x14ac:dyDescent="0.3">
      <c r="A179" s="4" t="s">
        <v>203</v>
      </c>
      <c r="B179" s="4">
        <v>179</v>
      </c>
      <c r="C179" s="4" t="s">
        <v>463</v>
      </c>
      <c r="D179" s="4" t="s">
        <v>272</v>
      </c>
      <c r="E179" s="4">
        <v>102179</v>
      </c>
      <c r="F179" s="4">
        <v>85.43</v>
      </c>
      <c r="G179" s="4" t="s">
        <v>8</v>
      </c>
      <c r="H179" s="4" t="s">
        <v>160</v>
      </c>
    </row>
    <row r="180" spans="1:8" x14ac:dyDescent="0.3">
      <c r="A180" s="4" t="s">
        <v>202</v>
      </c>
      <c r="B180" s="4">
        <v>180</v>
      </c>
      <c r="C180" s="4" t="s">
        <v>464</v>
      </c>
      <c r="D180" s="4" t="s">
        <v>267</v>
      </c>
      <c r="E180" s="4">
        <v>85802</v>
      </c>
      <c r="F180" s="4">
        <v>72.94</v>
      </c>
      <c r="G180" s="4" t="s">
        <v>8</v>
      </c>
      <c r="H180" s="4" t="s">
        <v>160</v>
      </c>
    </row>
    <row r="181" spans="1:8" x14ac:dyDescent="0.3">
      <c r="A181" s="4" t="s">
        <v>204</v>
      </c>
      <c r="B181" s="4">
        <v>181</v>
      </c>
      <c r="C181" s="4" t="s">
        <v>465</v>
      </c>
      <c r="D181" s="4" t="s">
        <v>267</v>
      </c>
      <c r="E181" s="4">
        <v>71349</v>
      </c>
      <c r="F181" s="4">
        <v>75.849999999999994</v>
      </c>
      <c r="G181" s="4" t="s">
        <v>8</v>
      </c>
      <c r="H181" s="4" t="s">
        <v>160</v>
      </c>
    </row>
    <row r="182" spans="1:8" x14ac:dyDescent="0.3">
      <c r="A182" s="4" t="s">
        <v>205</v>
      </c>
      <c r="B182" s="4">
        <v>182</v>
      </c>
      <c r="C182" s="4" t="s">
        <v>466</v>
      </c>
      <c r="D182" s="4" t="s">
        <v>267</v>
      </c>
      <c r="E182" s="4">
        <v>87935</v>
      </c>
      <c r="F182" s="4">
        <v>78.47</v>
      </c>
      <c r="G182" s="4" t="s">
        <v>8</v>
      </c>
      <c r="H182" s="4" t="s">
        <v>160</v>
      </c>
    </row>
    <row r="183" spans="1:8" x14ac:dyDescent="0.3">
      <c r="A183" s="4" t="s">
        <v>206</v>
      </c>
      <c r="B183" s="4">
        <v>183</v>
      </c>
      <c r="C183" s="4" t="s">
        <v>467</v>
      </c>
      <c r="D183" s="4" t="s">
        <v>271</v>
      </c>
      <c r="E183" s="4">
        <v>81835</v>
      </c>
      <c r="F183" s="4">
        <v>70.209999999999994</v>
      </c>
      <c r="G183" s="4" t="s">
        <v>8</v>
      </c>
      <c r="H183" s="4" t="s">
        <v>160</v>
      </c>
    </row>
    <row r="184" spans="1:8" x14ac:dyDescent="0.3">
      <c r="A184" s="4" t="s">
        <v>207</v>
      </c>
      <c r="B184" s="4">
        <v>184</v>
      </c>
      <c r="C184" s="4" t="s">
        <v>468</v>
      </c>
      <c r="D184" s="4" t="s">
        <v>271</v>
      </c>
      <c r="E184" s="4">
        <v>75954</v>
      </c>
      <c r="F184" s="4">
        <v>66.23</v>
      </c>
      <c r="G184" s="4" t="s">
        <v>8</v>
      </c>
      <c r="H184" s="4" t="s">
        <v>148</v>
      </c>
    </row>
    <row r="185" spans="1:8" x14ac:dyDescent="0.3">
      <c r="A185" s="4" t="s">
        <v>61</v>
      </c>
      <c r="B185" s="4">
        <v>185</v>
      </c>
      <c r="C185" s="4" t="s">
        <v>469</v>
      </c>
      <c r="D185" s="4" t="s">
        <v>267</v>
      </c>
      <c r="E185" s="4">
        <v>103682</v>
      </c>
      <c r="F185" s="4">
        <v>71.98</v>
      </c>
      <c r="G185" s="4" t="s">
        <v>8</v>
      </c>
      <c r="H185" s="4" t="s">
        <v>148</v>
      </c>
    </row>
    <row r="186" spans="1:8" x14ac:dyDescent="0.3">
      <c r="A186" s="4" t="s">
        <v>208</v>
      </c>
      <c r="B186" s="4">
        <v>186</v>
      </c>
      <c r="C186" s="4" t="s">
        <v>470</v>
      </c>
      <c r="D186" s="4" t="s">
        <v>272</v>
      </c>
      <c r="E186" s="4">
        <v>82153</v>
      </c>
      <c r="F186" s="4">
        <v>66.290000000000006</v>
      </c>
      <c r="G186" s="4" t="s">
        <v>8</v>
      </c>
      <c r="H186" s="4" t="s">
        <v>148</v>
      </c>
    </row>
    <row r="187" spans="1:8" x14ac:dyDescent="0.3">
      <c r="A187" s="4" t="s">
        <v>209</v>
      </c>
      <c r="B187" s="4">
        <v>187</v>
      </c>
      <c r="C187" s="4" t="s">
        <v>471</v>
      </c>
      <c r="D187" s="4" t="s">
        <v>267</v>
      </c>
      <c r="E187" s="4">
        <v>89364</v>
      </c>
      <c r="F187" s="4">
        <v>72.05</v>
      </c>
      <c r="G187" s="4" t="s">
        <v>10</v>
      </c>
      <c r="H187" s="4" t="s">
        <v>148</v>
      </c>
    </row>
    <row r="188" spans="1:8" x14ac:dyDescent="0.3">
      <c r="A188" s="4" t="s">
        <v>210</v>
      </c>
      <c r="B188" s="4">
        <v>188</v>
      </c>
      <c r="C188" s="4" t="s">
        <v>472</v>
      </c>
      <c r="D188" s="4" t="s">
        <v>272</v>
      </c>
      <c r="E188" s="4">
        <v>83344</v>
      </c>
      <c r="F188" s="4">
        <v>74.23</v>
      </c>
      <c r="G188" s="4" t="s">
        <v>8</v>
      </c>
      <c r="H188" s="4" t="s">
        <v>148</v>
      </c>
    </row>
    <row r="189" spans="1:8" x14ac:dyDescent="0.3">
      <c r="A189" s="4" t="s">
        <v>212</v>
      </c>
      <c r="B189" s="4">
        <v>189</v>
      </c>
      <c r="C189" s="4" t="s">
        <v>473</v>
      </c>
      <c r="D189" s="4" t="s">
        <v>267</v>
      </c>
      <c r="E189" s="4">
        <v>122729</v>
      </c>
      <c r="F189" s="4">
        <v>71.34</v>
      </c>
      <c r="G189" s="4" t="s">
        <v>8</v>
      </c>
      <c r="H189" s="4" t="s">
        <v>148</v>
      </c>
    </row>
    <row r="190" spans="1:8" x14ac:dyDescent="0.3">
      <c r="A190" s="4" t="s">
        <v>213</v>
      </c>
      <c r="B190" s="4">
        <v>190</v>
      </c>
      <c r="C190" s="4" t="s">
        <v>474</v>
      </c>
      <c r="D190" s="4" t="s">
        <v>267</v>
      </c>
      <c r="E190" s="4">
        <v>84240</v>
      </c>
      <c r="F190" s="4">
        <v>79.489999999999995</v>
      </c>
      <c r="G190" s="4" t="s">
        <v>10</v>
      </c>
      <c r="H190" s="4" t="s">
        <v>148</v>
      </c>
    </row>
    <row r="191" spans="1:8" x14ac:dyDescent="0.3">
      <c r="A191" s="4" t="s">
        <v>214</v>
      </c>
      <c r="B191" s="4">
        <v>191</v>
      </c>
      <c r="C191" s="4" t="s">
        <v>475</v>
      </c>
      <c r="D191" s="4" t="s">
        <v>267</v>
      </c>
      <c r="E191" s="4">
        <v>73010</v>
      </c>
      <c r="F191" s="4">
        <v>63.6</v>
      </c>
      <c r="G191" s="4" t="s">
        <v>8</v>
      </c>
      <c r="H191" s="4" t="s">
        <v>148</v>
      </c>
    </row>
    <row r="192" spans="1:8" x14ac:dyDescent="0.3">
      <c r="A192" s="4" t="s">
        <v>215</v>
      </c>
      <c r="B192" s="4">
        <v>192</v>
      </c>
      <c r="C192" s="4" t="s">
        <v>476</v>
      </c>
      <c r="D192" s="4" t="s">
        <v>267</v>
      </c>
      <c r="E192" s="4">
        <v>62812</v>
      </c>
      <c r="F192" s="4">
        <v>63.8</v>
      </c>
      <c r="G192" s="4" t="s">
        <v>8</v>
      </c>
      <c r="H192" s="4" t="s">
        <v>148</v>
      </c>
    </row>
    <row r="193" spans="1:8" x14ac:dyDescent="0.3">
      <c r="A193" s="4" t="s">
        <v>216</v>
      </c>
      <c r="B193" s="4">
        <v>193</v>
      </c>
      <c r="C193" s="4" t="s">
        <v>477</v>
      </c>
      <c r="D193" s="4" t="s">
        <v>267</v>
      </c>
      <c r="E193" s="4">
        <v>73205</v>
      </c>
      <c r="F193" s="4">
        <v>61.03</v>
      </c>
      <c r="G193" s="4" t="s">
        <v>8</v>
      </c>
      <c r="H193" s="4" t="s">
        <v>148</v>
      </c>
    </row>
    <row r="194" spans="1:8" x14ac:dyDescent="0.3">
      <c r="A194" s="4" t="s">
        <v>217</v>
      </c>
      <c r="B194" s="4">
        <v>194</v>
      </c>
      <c r="C194" s="4" t="s">
        <v>478</v>
      </c>
      <c r="D194" s="4" t="s">
        <v>272</v>
      </c>
      <c r="E194" s="4">
        <v>83883</v>
      </c>
      <c r="F194" s="4">
        <v>65.12</v>
      </c>
      <c r="G194" s="4" t="s">
        <v>8</v>
      </c>
      <c r="H194" s="4" t="s">
        <v>148</v>
      </c>
    </row>
    <row r="195" spans="1:8" x14ac:dyDescent="0.3">
      <c r="A195" s="4" t="s">
        <v>218</v>
      </c>
      <c r="B195" s="4">
        <v>195</v>
      </c>
      <c r="C195" s="4" t="s">
        <v>479</v>
      </c>
      <c r="D195" s="4" t="s">
        <v>272</v>
      </c>
      <c r="E195" s="4">
        <v>103683</v>
      </c>
      <c r="F195" s="4">
        <v>72.73</v>
      </c>
      <c r="G195" s="4" t="s">
        <v>8</v>
      </c>
      <c r="H195" s="4" t="s">
        <v>148</v>
      </c>
    </row>
    <row r="196" spans="1:8" x14ac:dyDescent="0.3">
      <c r="A196" s="4" t="s">
        <v>219</v>
      </c>
      <c r="B196" s="4">
        <v>196</v>
      </c>
      <c r="C196" s="4" t="s">
        <v>480</v>
      </c>
      <c r="D196" s="4" t="s">
        <v>272</v>
      </c>
      <c r="E196" s="4">
        <v>100338</v>
      </c>
      <c r="F196" s="4">
        <v>78.13</v>
      </c>
      <c r="G196" s="4" t="s">
        <v>8</v>
      </c>
      <c r="H196" s="4" t="s">
        <v>148</v>
      </c>
    </row>
    <row r="197" spans="1:8" x14ac:dyDescent="0.3">
      <c r="A197" s="4" t="s">
        <v>220</v>
      </c>
      <c r="B197" s="4">
        <v>197</v>
      </c>
      <c r="C197" s="4" t="s">
        <v>481</v>
      </c>
      <c r="D197" s="4" t="s">
        <v>272</v>
      </c>
      <c r="E197" s="4">
        <v>71255</v>
      </c>
      <c r="F197" s="4">
        <v>73.819999999999993</v>
      </c>
      <c r="G197" s="4" t="s">
        <v>8</v>
      </c>
      <c r="H197" s="4" t="s">
        <v>148</v>
      </c>
    </row>
    <row r="198" spans="1:8" x14ac:dyDescent="0.3">
      <c r="A198" s="4" t="s">
        <v>221</v>
      </c>
      <c r="B198" s="4">
        <v>198</v>
      </c>
      <c r="C198" s="4" t="s">
        <v>482</v>
      </c>
      <c r="D198" s="4" t="s">
        <v>267</v>
      </c>
      <c r="E198" s="4">
        <v>93541</v>
      </c>
      <c r="F198" s="4">
        <v>74.849999999999994</v>
      </c>
      <c r="G198" s="4" t="s">
        <v>8</v>
      </c>
      <c r="H198" s="4" t="s">
        <v>148</v>
      </c>
    </row>
    <row r="199" spans="1:8" x14ac:dyDescent="0.3">
      <c r="A199" s="4" t="s">
        <v>223</v>
      </c>
      <c r="B199" s="4">
        <v>199</v>
      </c>
      <c r="C199" s="4" t="s">
        <v>483</v>
      </c>
      <c r="D199" s="4" t="s">
        <v>267</v>
      </c>
      <c r="E199" s="4">
        <v>92251</v>
      </c>
      <c r="F199" s="4">
        <v>69.94</v>
      </c>
      <c r="G199" s="4" t="s">
        <v>10</v>
      </c>
      <c r="H199" s="4" t="s">
        <v>148</v>
      </c>
    </row>
    <row r="200" spans="1:8" x14ac:dyDescent="0.3">
      <c r="A200" s="4" t="s">
        <v>224</v>
      </c>
      <c r="B200" s="4">
        <v>200</v>
      </c>
      <c r="C200" s="4" t="s">
        <v>484</v>
      </c>
      <c r="D200" s="4" t="s">
        <v>272</v>
      </c>
      <c r="E200" s="4">
        <v>100050</v>
      </c>
      <c r="F200" s="4">
        <v>76.3</v>
      </c>
      <c r="G200" s="4" t="s">
        <v>8</v>
      </c>
      <c r="H200" s="4" t="s">
        <v>148</v>
      </c>
    </row>
    <row r="201" spans="1:8" x14ac:dyDescent="0.3">
      <c r="A201" s="4" t="s">
        <v>225</v>
      </c>
      <c r="B201" s="4">
        <v>201</v>
      </c>
      <c r="C201" s="4" t="s">
        <v>485</v>
      </c>
      <c r="D201" s="4" t="s">
        <v>267</v>
      </c>
      <c r="E201" s="4">
        <v>104800</v>
      </c>
      <c r="F201" s="4">
        <v>69.510000000000005</v>
      </c>
      <c r="G201" s="4" t="s">
        <v>8</v>
      </c>
      <c r="H201" s="4" t="s">
        <v>148</v>
      </c>
    </row>
    <row r="202" spans="1:8" x14ac:dyDescent="0.3">
      <c r="A202" s="4" t="s">
        <v>226</v>
      </c>
      <c r="B202" s="4">
        <v>202</v>
      </c>
      <c r="C202" s="4" t="s">
        <v>486</v>
      </c>
      <c r="D202" s="4" t="s">
        <v>267</v>
      </c>
      <c r="E202" s="4">
        <v>74158</v>
      </c>
      <c r="F202" s="4">
        <v>73.89</v>
      </c>
      <c r="G202" s="4" t="s">
        <v>8</v>
      </c>
      <c r="H202" s="4" t="s">
        <v>148</v>
      </c>
    </row>
    <row r="203" spans="1:8" x14ac:dyDescent="0.3">
      <c r="A203" s="4" t="s">
        <v>228</v>
      </c>
      <c r="B203" s="4">
        <v>203</v>
      </c>
      <c r="C203" s="4" t="s">
        <v>487</v>
      </c>
      <c r="D203" s="4" t="s">
        <v>272</v>
      </c>
      <c r="E203" s="4">
        <v>70475</v>
      </c>
      <c r="F203" s="4">
        <v>73.14</v>
      </c>
      <c r="G203" s="4" t="s">
        <v>10</v>
      </c>
      <c r="H203" s="4" t="s">
        <v>148</v>
      </c>
    </row>
    <row r="204" spans="1:8" x14ac:dyDescent="0.3">
      <c r="A204" s="4" t="s">
        <v>229</v>
      </c>
      <c r="B204" s="4">
        <v>204</v>
      </c>
      <c r="C204" s="4" t="s">
        <v>488</v>
      </c>
      <c r="D204" s="4" t="s">
        <v>267</v>
      </c>
      <c r="E204" s="4">
        <v>74174</v>
      </c>
      <c r="F204" s="4">
        <v>75.17</v>
      </c>
      <c r="G204" s="4" t="s">
        <v>8</v>
      </c>
      <c r="H204" s="4" t="s">
        <v>148</v>
      </c>
    </row>
    <row r="205" spans="1:8" x14ac:dyDescent="0.3">
      <c r="A205" s="4" t="s">
        <v>230</v>
      </c>
      <c r="B205" s="4">
        <v>205</v>
      </c>
      <c r="C205" s="4" t="s">
        <v>489</v>
      </c>
      <c r="D205" s="4" t="s">
        <v>271</v>
      </c>
      <c r="E205" s="4">
        <v>78947</v>
      </c>
      <c r="F205" s="4">
        <v>70.16</v>
      </c>
      <c r="G205" s="4" t="s">
        <v>8</v>
      </c>
      <c r="H205" s="4" t="s">
        <v>148</v>
      </c>
    </row>
    <row r="206" spans="1:8" x14ac:dyDescent="0.3">
      <c r="A206" s="4" t="s">
        <v>227</v>
      </c>
      <c r="B206" s="4">
        <v>206</v>
      </c>
      <c r="C206" s="4" t="s">
        <v>490</v>
      </c>
      <c r="D206" s="4" t="s">
        <v>267</v>
      </c>
      <c r="E206" s="4">
        <v>73297</v>
      </c>
      <c r="F206" s="4">
        <v>71.27</v>
      </c>
      <c r="G206" s="4" t="s">
        <v>8</v>
      </c>
      <c r="H206" s="4" t="s">
        <v>148</v>
      </c>
    </row>
    <row r="207" spans="1:8" x14ac:dyDescent="0.3">
      <c r="A207" s="4" t="s">
        <v>231</v>
      </c>
      <c r="B207" s="4">
        <v>207</v>
      </c>
      <c r="C207" s="4" t="s">
        <v>491</v>
      </c>
      <c r="D207" s="4" t="s">
        <v>267</v>
      </c>
      <c r="E207" s="4">
        <v>91040</v>
      </c>
      <c r="F207" s="4">
        <v>75.599999999999994</v>
      </c>
      <c r="G207" s="4" t="s">
        <v>8</v>
      </c>
      <c r="H207" s="4" t="s">
        <v>148</v>
      </c>
    </row>
    <row r="208" spans="1:8" x14ac:dyDescent="0.3">
      <c r="A208" s="4" t="s">
        <v>232</v>
      </c>
      <c r="B208" s="4">
        <v>208</v>
      </c>
      <c r="C208" s="4" t="s">
        <v>492</v>
      </c>
      <c r="D208" s="4" t="s">
        <v>267</v>
      </c>
      <c r="E208" s="4">
        <v>102225</v>
      </c>
      <c r="F208" s="4">
        <v>77.459999999999994</v>
      </c>
      <c r="G208" s="4" t="s">
        <v>8</v>
      </c>
      <c r="H208" s="4" t="s">
        <v>148</v>
      </c>
    </row>
    <row r="209" spans="1:8" x14ac:dyDescent="0.3">
      <c r="A209" s="4" t="s">
        <v>233</v>
      </c>
      <c r="B209" s="4">
        <v>209</v>
      </c>
      <c r="C209" s="4" t="s">
        <v>493</v>
      </c>
      <c r="D209" s="4" t="s">
        <v>267</v>
      </c>
      <c r="E209" s="4">
        <v>84864</v>
      </c>
      <c r="F209" s="4">
        <v>70.59</v>
      </c>
      <c r="G209" s="4" t="s">
        <v>10</v>
      </c>
      <c r="H209" s="4" t="s">
        <v>148</v>
      </c>
    </row>
    <row r="210" spans="1:8" x14ac:dyDescent="0.3">
      <c r="A210" s="4" t="s">
        <v>235</v>
      </c>
      <c r="B210" s="4">
        <v>210</v>
      </c>
      <c r="C210" s="4" t="s">
        <v>494</v>
      </c>
      <c r="D210" s="4" t="s">
        <v>271</v>
      </c>
      <c r="E210" s="4">
        <v>79364</v>
      </c>
      <c r="F210" s="4">
        <v>68.72</v>
      </c>
      <c r="G210" s="4" t="s">
        <v>8</v>
      </c>
      <c r="H210" s="4" t="s">
        <v>148</v>
      </c>
    </row>
    <row r="211" spans="1:8" x14ac:dyDescent="0.3">
      <c r="A211" s="4" t="s">
        <v>234</v>
      </c>
      <c r="B211" s="4">
        <v>211</v>
      </c>
      <c r="C211" s="4" t="s">
        <v>495</v>
      </c>
      <c r="D211" s="4" t="s">
        <v>267</v>
      </c>
      <c r="E211" s="4">
        <v>111082</v>
      </c>
      <c r="F211" s="4">
        <v>68.81</v>
      </c>
      <c r="G211" s="4" t="s">
        <v>8</v>
      </c>
      <c r="H211" s="4" t="s">
        <v>148</v>
      </c>
    </row>
    <row r="212" spans="1:8" x14ac:dyDescent="0.3">
      <c r="A212" s="4" t="s">
        <v>236</v>
      </c>
      <c r="B212" s="4">
        <v>212</v>
      </c>
      <c r="C212" s="4" t="s">
        <v>496</v>
      </c>
      <c r="D212" s="4" t="s">
        <v>267</v>
      </c>
      <c r="E212" s="4">
        <v>101901</v>
      </c>
      <c r="F212" s="4">
        <v>70.290000000000006</v>
      </c>
      <c r="G212" s="4" t="s">
        <v>8</v>
      </c>
      <c r="H212" s="4" t="s">
        <v>148</v>
      </c>
    </row>
    <row r="213" spans="1:8" x14ac:dyDescent="0.3">
      <c r="A213" s="4" t="s">
        <v>237</v>
      </c>
      <c r="B213" s="4">
        <v>213</v>
      </c>
      <c r="C213" s="4" t="s">
        <v>497</v>
      </c>
      <c r="D213" s="4" t="s">
        <v>267</v>
      </c>
      <c r="E213" s="4">
        <v>90348</v>
      </c>
      <c r="F213" s="4">
        <v>76.52</v>
      </c>
      <c r="G213" s="4" t="s">
        <v>8</v>
      </c>
      <c r="H213" s="4" t="s">
        <v>148</v>
      </c>
    </row>
    <row r="214" spans="1:8" x14ac:dyDescent="0.3">
      <c r="A214" s="4" t="s">
        <v>239</v>
      </c>
      <c r="B214" s="4">
        <v>214</v>
      </c>
      <c r="C214" s="4" t="s">
        <v>498</v>
      </c>
      <c r="D214" s="4" t="s">
        <v>267</v>
      </c>
      <c r="E214" s="4">
        <v>92314</v>
      </c>
      <c r="F214" s="4">
        <v>65.069999999999993</v>
      </c>
      <c r="G214" s="4" t="s">
        <v>8</v>
      </c>
      <c r="H214" s="4" t="s">
        <v>148</v>
      </c>
    </row>
    <row r="215" spans="1:8" x14ac:dyDescent="0.3">
      <c r="A215" s="4" t="s">
        <v>240</v>
      </c>
      <c r="B215" s="4">
        <v>215</v>
      </c>
      <c r="C215" s="4" t="s">
        <v>499</v>
      </c>
      <c r="D215" s="4" t="s">
        <v>267</v>
      </c>
      <c r="E215" s="4">
        <v>88274</v>
      </c>
      <c r="F215" s="4">
        <v>70.040000000000006</v>
      </c>
      <c r="G215" s="4" t="s">
        <v>8</v>
      </c>
      <c r="H215" s="4" t="s">
        <v>148</v>
      </c>
    </row>
    <row r="216" spans="1:8" x14ac:dyDescent="0.3">
      <c r="A216" s="4" t="s">
        <v>241</v>
      </c>
      <c r="B216" s="4">
        <v>216</v>
      </c>
      <c r="C216" s="4" t="s">
        <v>500</v>
      </c>
      <c r="D216" s="4" t="s">
        <v>271</v>
      </c>
      <c r="E216" s="4">
        <v>76843</v>
      </c>
      <c r="F216" s="4">
        <v>72.34</v>
      </c>
      <c r="G216" s="4" t="s">
        <v>8</v>
      </c>
      <c r="H216" s="4" t="s">
        <v>148</v>
      </c>
    </row>
    <row r="217" spans="1:8" x14ac:dyDescent="0.3">
      <c r="A217" s="4" t="s">
        <v>242</v>
      </c>
      <c r="B217" s="4">
        <v>217</v>
      </c>
      <c r="C217" s="4" t="s">
        <v>501</v>
      </c>
      <c r="D217" s="4" t="s">
        <v>267</v>
      </c>
      <c r="E217" s="4">
        <v>73110</v>
      </c>
      <c r="F217" s="4">
        <v>69.819999999999993</v>
      </c>
      <c r="G217" s="4" t="s">
        <v>10</v>
      </c>
      <c r="H217" s="4" t="s">
        <v>148</v>
      </c>
    </row>
    <row r="218" spans="1:8" x14ac:dyDescent="0.3">
      <c r="A218" s="4" t="s">
        <v>243</v>
      </c>
      <c r="B218" s="4">
        <v>218</v>
      </c>
      <c r="C218" s="4" t="s">
        <v>502</v>
      </c>
      <c r="D218" s="4" t="s">
        <v>272</v>
      </c>
      <c r="E218" s="4">
        <v>68556</v>
      </c>
      <c r="F218" s="4">
        <v>67.430000000000007</v>
      </c>
      <c r="G218" s="4" t="s">
        <v>8</v>
      </c>
      <c r="H218" s="4" t="s">
        <v>148</v>
      </c>
    </row>
    <row r="219" spans="1:8" x14ac:dyDescent="0.3">
      <c r="A219" s="4" t="s">
        <v>244</v>
      </c>
      <c r="B219" s="4">
        <v>219</v>
      </c>
      <c r="C219" s="4" t="s">
        <v>503</v>
      </c>
      <c r="D219" s="4" t="s">
        <v>267</v>
      </c>
      <c r="E219" s="4">
        <v>71347</v>
      </c>
      <c r="F219" s="4">
        <v>71.48</v>
      </c>
      <c r="G219" s="4" t="s">
        <v>10</v>
      </c>
      <c r="H219" s="4" t="s">
        <v>148</v>
      </c>
    </row>
    <row r="220" spans="1:8" x14ac:dyDescent="0.3">
      <c r="A220" s="4" t="s">
        <v>246</v>
      </c>
      <c r="B220" s="4">
        <v>220</v>
      </c>
      <c r="C220" s="4" t="s">
        <v>504</v>
      </c>
      <c r="D220" s="4" t="s">
        <v>267</v>
      </c>
      <c r="E220" s="4">
        <v>68730</v>
      </c>
      <c r="F220" s="4">
        <v>71.87</v>
      </c>
      <c r="G220" s="4" t="s">
        <v>10</v>
      </c>
      <c r="H220" s="4" t="s">
        <v>148</v>
      </c>
    </row>
    <row r="221" spans="1:8" x14ac:dyDescent="0.3">
      <c r="A221" s="4" t="s">
        <v>247</v>
      </c>
      <c r="B221" s="4">
        <v>221</v>
      </c>
      <c r="C221" s="4" t="s">
        <v>505</v>
      </c>
      <c r="D221" s="4" t="s">
        <v>272</v>
      </c>
      <c r="E221" s="4">
        <v>88474</v>
      </c>
      <c r="F221" s="4">
        <v>70.349999999999994</v>
      </c>
      <c r="G221" s="4" t="s">
        <v>8</v>
      </c>
      <c r="H221" s="4" t="s">
        <v>148</v>
      </c>
    </row>
    <row r="222" spans="1:8" x14ac:dyDescent="0.3">
      <c r="A222" s="4" t="s">
        <v>248</v>
      </c>
      <c r="B222" s="4">
        <v>222</v>
      </c>
      <c r="C222" s="4" t="s">
        <v>506</v>
      </c>
      <c r="D222" s="4" t="s">
        <v>271</v>
      </c>
      <c r="E222" s="4">
        <v>89315</v>
      </c>
      <c r="F222" s="4">
        <v>72.400000000000006</v>
      </c>
      <c r="G222" s="4" t="s">
        <v>8</v>
      </c>
      <c r="H222" s="4" t="s">
        <v>148</v>
      </c>
    </row>
    <row r="223" spans="1:8" x14ac:dyDescent="0.3">
      <c r="A223" s="4" t="s">
        <v>249</v>
      </c>
      <c r="B223" s="4">
        <v>223</v>
      </c>
      <c r="C223" s="4" t="s">
        <v>507</v>
      </c>
      <c r="D223" s="4" t="s">
        <v>272</v>
      </c>
      <c r="E223" s="4">
        <v>74153</v>
      </c>
      <c r="F223" s="4">
        <v>77.400000000000006</v>
      </c>
      <c r="G223" s="4" t="s">
        <v>8</v>
      </c>
      <c r="H223" s="4" t="s">
        <v>148</v>
      </c>
    </row>
    <row r="224" spans="1:8" x14ac:dyDescent="0.3">
      <c r="A224" s="4" t="s">
        <v>245</v>
      </c>
      <c r="B224" s="4">
        <v>224</v>
      </c>
      <c r="C224" s="4" t="s">
        <v>508</v>
      </c>
      <c r="D224" s="4" t="s">
        <v>293</v>
      </c>
      <c r="E224" s="4">
        <v>92282</v>
      </c>
      <c r="F224" s="4">
        <v>66.91</v>
      </c>
      <c r="G224" s="4" t="s">
        <v>8</v>
      </c>
      <c r="H224" s="4" t="s">
        <v>148</v>
      </c>
    </row>
    <row r="225" spans="1:8" x14ac:dyDescent="0.3">
      <c r="A225" s="4" t="s">
        <v>250</v>
      </c>
      <c r="B225" s="4">
        <v>225</v>
      </c>
      <c r="C225" s="4" t="s">
        <v>509</v>
      </c>
      <c r="D225" s="4" t="s">
        <v>272</v>
      </c>
      <c r="E225" s="4">
        <v>85211</v>
      </c>
      <c r="F225" s="4">
        <v>72.03</v>
      </c>
      <c r="G225" s="4" t="s">
        <v>8</v>
      </c>
      <c r="H225" s="4" t="s">
        <v>148</v>
      </c>
    </row>
    <row r="226" spans="1:8" x14ac:dyDescent="0.3">
      <c r="A226" s="4" t="s">
        <v>251</v>
      </c>
      <c r="B226" s="4">
        <v>226</v>
      </c>
      <c r="C226" s="4" t="s">
        <v>510</v>
      </c>
      <c r="D226" s="4" t="s">
        <v>267</v>
      </c>
      <c r="E226" s="4">
        <v>89117</v>
      </c>
      <c r="F226" s="4">
        <v>57.76</v>
      </c>
      <c r="G226" s="4" t="s">
        <v>8</v>
      </c>
      <c r="H226" s="4" t="s">
        <v>148</v>
      </c>
    </row>
    <row r="227" spans="1:8" x14ac:dyDescent="0.3">
      <c r="A227" s="4" t="s">
        <v>252</v>
      </c>
      <c r="B227" s="4">
        <v>227</v>
      </c>
      <c r="C227" s="4" t="s">
        <v>511</v>
      </c>
      <c r="D227" s="4" t="s">
        <v>271</v>
      </c>
      <c r="E227" s="4">
        <v>75902</v>
      </c>
      <c r="F227" s="4">
        <v>68.59</v>
      </c>
      <c r="G227" s="4" t="s">
        <v>8</v>
      </c>
      <c r="H227" s="4" t="s">
        <v>148</v>
      </c>
    </row>
    <row r="228" spans="1:8" x14ac:dyDescent="0.3">
      <c r="A228" s="4" t="s">
        <v>253</v>
      </c>
      <c r="B228" s="4">
        <v>228</v>
      </c>
      <c r="C228" s="4" t="s">
        <v>512</v>
      </c>
      <c r="D228" s="4" t="s">
        <v>267</v>
      </c>
      <c r="E228" s="4">
        <v>82331</v>
      </c>
      <c r="F228" s="4">
        <v>68.08</v>
      </c>
      <c r="G228" s="4" t="s">
        <v>8</v>
      </c>
      <c r="H228" s="4" t="s">
        <v>148</v>
      </c>
    </row>
    <row r="229" spans="1:8" x14ac:dyDescent="0.3">
      <c r="A229" s="4" t="s">
        <v>254</v>
      </c>
      <c r="B229" s="4">
        <v>229</v>
      </c>
      <c r="C229" s="4" t="s">
        <v>513</v>
      </c>
      <c r="D229" s="4" t="s">
        <v>272</v>
      </c>
      <c r="E229" s="4">
        <v>109745</v>
      </c>
      <c r="F229" s="4">
        <v>75.19</v>
      </c>
      <c r="G229" s="4" t="s">
        <v>8</v>
      </c>
      <c r="H229" s="4" t="s">
        <v>148</v>
      </c>
    </row>
    <row r="230" spans="1:8" x14ac:dyDescent="0.3">
      <c r="A230" s="4" t="s">
        <v>255</v>
      </c>
      <c r="B230" s="4">
        <v>230</v>
      </c>
      <c r="C230" s="4" t="s">
        <v>514</v>
      </c>
      <c r="D230" s="4" t="s">
        <v>293</v>
      </c>
      <c r="E230" s="4">
        <v>88804</v>
      </c>
      <c r="F230" s="4">
        <v>67.06</v>
      </c>
      <c r="G230" s="4" t="s">
        <v>8</v>
      </c>
      <c r="H230" s="4" t="s">
        <v>148</v>
      </c>
    </row>
    <row r="231" spans="1:8" x14ac:dyDescent="0.3">
      <c r="A231" s="4" t="s">
        <v>256</v>
      </c>
      <c r="B231" s="4">
        <v>231</v>
      </c>
      <c r="C231" s="4" t="s">
        <v>515</v>
      </c>
      <c r="D231" s="4" t="s">
        <v>271</v>
      </c>
      <c r="E231" s="4">
        <v>90681</v>
      </c>
      <c r="F231" s="4">
        <v>67.27</v>
      </c>
      <c r="G231" s="4" t="s">
        <v>8</v>
      </c>
      <c r="H231" s="4" t="s">
        <v>148</v>
      </c>
    </row>
    <row r="232" spans="1:8" x14ac:dyDescent="0.3">
      <c r="A232" s="4" t="s">
        <v>257</v>
      </c>
      <c r="B232" s="4">
        <v>232</v>
      </c>
      <c r="C232" s="4" t="s">
        <v>516</v>
      </c>
      <c r="D232" s="4" t="s">
        <v>267</v>
      </c>
      <c r="E232" s="4">
        <v>87744</v>
      </c>
      <c r="F232" s="4">
        <v>70.08</v>
      </c>
      <c r="G232" s="4" t="s">
        <v>8</v>
      </c>
      <c r="H232" s="4" t="s">
        <v>148</v>
      </c>
    </row>
    <row r="233" spans="1:8" x14ac:dyDescent="0.3">
      <c r="A233" s="4" t="s">
        <v>258</v>
      </c>
      <c r="B233" s="4">
        <v>233</v>
      </c>
      <c r="C233" s="4" t="s">
        <v>517</v>
      </c>
      <c r="D233" s="4" t="s">
        <v>271</v>
      </c>
      <c r="E233" s="4">
        <v>87473</v>
      </c>
      <c r="F233" s="4">
        <v>66.83</v>
      </c>
      <c r="G233" s="4" t="s">
        <v>8</v>
      </c>
      <c r="H233" s="4" t="s">
        <v>148</v>
      </c>
    </row>
    <row r="234" spans="1:8" x14ac:dyDescent="0.3">
      <c r="A234" s="4" t="s">
        <v>259</v>
      </c>
      <c r="B234" s="4">
        <v>234</v>
      </c>
      <c r="C234" s="4" t="s">
        <v>518</v>
      </c>
      <c r="D234" s="4" t="s">
        <v>271</v>
      </c>
      <c r="E234" s="4">
        <v>101541</v>
      </c>
      <c r="F234" s="4">
        <v>65.87</v>
      </c>
      <c r="G234" s="4" t="s">
        <v>8</v>
      </c>
      <c r="H234" s="4" t="s">
        <v>148</v>
      </c>
    </row>
  </sheetData>
  <autoFilter ref="A1:H234" xr:uid="{EE5D609E-D16E-4E8D-A19A-6376B84B756E}">
    <sortState xmlns:xlrd2="http://schemas.microsoft.com/office/spreadsheetml/2017/richdata2" ref="A2:H234">
      <sortCondition ref="B1:B234"/>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E7B23-B48A-4F62-AF51-7B60DF7FE1C2}">
  <dimension ref="A1:H234"/>
  <sheetViews>
    <sheetView showGridLines="0" tabSelected="1" workbookViewId="0">
      <selection sqref="A1:H1"/>
    </sheetView>
  </sheetViews>
  <sheetFormatPr defaultRowHeight="14.4" x14ac:dyDescent="0.3"/>
  <cols>
    <col min="1" max="1" width="21.44140625" bestFit="1" customWidth="1"/>
    <col min="2" max="2" width="10.109375" bestFit="1" customWidth="1"/>
    <col min="3" max="3" width="49.5546875" bestFit="1" customWidth="1"/>
    <col min="4" max="4" width="50.6640625" bestFit="1" customWidth="1"/>
    <col min="5" max="5" width="7" bestFit="1" customWidth="1"/>
    <col min="6" max="6" width="7.109375" bestFit="1" customWidth="1"/>
    <col min="7" max="7" width="8" bestFit="1" customWidth="1"/>
    <col min="8" max="8" width="13.21875" bestFit="1" customWidth="1"/>
  </cols>
  <sheetData>
    <row r="1" spans="1:8" x14ac:dyDescent="0.3">
      <c r="A1" s="5" t="s">
        <v>1</v>
      </c>
      <c r="B1" s="5" t="s">
        <v>0</v>
      </c>
      <c r="C1" s="5" t="s">
        <v>262</v>
      </c>
      <c r="D1" s="5" t="s">
        <v>263</v>
      </c>
      <c r="E1" s="5" t="s">
        <v>264</v>
      </c>
      <c r="F1" s="5" t="s">
        <v>265</v>
      </c>
      <c r="G1" s="5" t="s">
        <v>4</v>
      </c>
      <c r="H1" s="5" t="s">
        <v>3</v>
      </c>
    </row>
    <row r="2" spans="1:8" x14ac:dyDescent="0.3">
      <c r="A2" s="4" t="s">
        <v>5</v>
      </c>
      <c r="B2" s="4">
        <v>1</v>
      </c>
      <c r="C2" s="4" t="s">
        <v>519</v>
      </c>
      <c r="D2" s="4" t="s">
        <v>520</v>
      </c>
      <c r="E2" s="4">
        <v>94320</v>
      </c>
      <c r="F2" s="6" t="e">
        <f>VLOOKUP(A2,'[1]Turn Out'!$B:$D,3,FALSE)</f>
        <v>#N/A</v>
      </c>
      <c r="G2" s="4" t="s">
        <v>8</v>
      </c>
      <c r="H2" s="4" t="s">
        <v>7</v>
      </c>
    </row>
    <row r="3" spans="1:8" x14ac:dyDescent="0.3">
      <c r="A3" s="4" t="s">
        <v>9</v>
      </c>
      <c r="B3" s="4">
        <v>2</v>
      </c>
      <c r="C3" s="4" t="s">
        <v>521</v>
      </c>
      <c r="D3" s="4" t="s">
        <v>520</v>
      </c>
      <c r="E3" s="4">
        <v>110439</v>
      </c>
      <c r="F3" s="6">
        <f>VLOOKUP(A3,'[1]Turn Out'!$B:$D,3,FALSE)</f>
        <v>0.89770000000000005</v>
      </c>
      <c r="G3" s="4" t="s">
        <v>10</v>
      </c>
      <c r="H3" s="4" t="s">
        <v>7</v>
      </c>
    </row>
    <row r="4" spans="1:8" x14ac:dyDescent="0.3">
      <c r="A4" s="4" t="s">
        <v>11</v>
      </c>
      <c r="B4" s="4">
        <v>3</v>
      </c>
      <c r="C4" s="4" t="s">
        <v>522</v>
      </c>
      <c r="D4" s="4" t="s">
        <v>272</v>
      </c>
      <c r="E4" s="4">
        <v>89169</v>
      </c>
      <c r="F4" s="6">
        <f>VLOOKUP(A4,'[1]Turn Out'!$B:$D,3,FALSE)</f>
        <v>0.90229999999999999</v>
      </c>
      <c r="G4" s="4" t="s">
        <v>8</v>
      </c>
      <c r="H4" s="4" t="s">
        <v>7</v>
      </c>
    </row>
    <row r="5" spans="1:8" x14ac:dyDescent="0.3">
      <c r="A5" s="4" t="s">
        <v>12</v>
      </c>
      <c r="B5" s="4">
        <v>4</v>
      </c>
      <c r="C5" s="4" t="s">
        <v>523</v>
      </c>
      <c r="D5" s="4" t="s">
        <v>520</v>
      </c>
      <c r="E5" s="4">
        <v>92190</v>
      </c>
      <c r="F5" s="6">
        <f>VLOOKUP(A5,'[1]Turn Out'!$B:$D,3,FALSE)</f>
        <v>0.89510000000000001</v>
      </c>
      <c r="G5" s="4" t="s">
        <v>8</v>
      </c>
      <c r="H5" s="4" t="s">
        <v>7</v>
      </c>
    </row>
    <row r="6" spans="1:8" x14ac:dyDescent="0.3">
      <c r="A6" s="4" t="s">
        <v>13</v>
      </c>
      <c r="B6" s="4">
        <v>5</v>
      </c>
      <c r="C6" s="4" t="s">
        <v>524</v>
      </c>
      <c r="D6" s="4" t="s">
        <v>520</v>
      </c>
      <c r="E6" s="4">
        <v>161309</v>
      </c>
      <c r="F6" s="6">
        <f>VLOOKUP(A6,'[1]Turn Out'!$B:$D,3,FALSE)</f>
        <v>0.83409999999999995</v>
      </c>
      <c r="G6" s="4" t="s">
        <v>10</v>
      </c>
      <c r="H6" s="4" t="s">
        <v>7</v>
      </c>
    </row>
    <row r="7" spans="1:8" x14ac:dyDescent="0.3">
      <c r="A7" s="4" t="s">
        <v>14</v>
      </c>
      <c r="B7" s="4">
        <v>6</v>
      </c>
      <c r="C7" s="4" t="s">
        <v>525</v>
      </c>
      <c r="D7" s="4" t="s">
        <v>520</v>
      </c>
      <c r="E7" s="4">
        <v>180384</v>
      </c>
      <c r="F7" s="6">
        <f>VLOOKUP(A7,'[1]Turn Out'!$B:$D,3,FALSE)</f>
        <v>0.78810000000000002</v>
      </c>
      <c r="G7" s="4" t="s">
        <v>8</v>
      </c>
      <c r="H7" s="4" t="s">
        <v>7</v>
      </c>
    </row>
    <row r="8" spans="1:8" x14ac:dyDescent="0.3">
      <c r="A8" s="4" t="s">
        <v>15</v>
      </c>
      <c r="B8" s="4">
        <v>7</v>
      </c>
      <c r="C8" s="4" t="s">
        <v>526</v>
      </c>
      <c r="D8" s="4" t="s">
        <v>520</v>
      </c>
      <c r="E8" s="4">
        <v>141725</v>
      </c>
      <c r="F8" s="6">
        <f>VLOOKUP(A8,'[1]Turn Out'!$B:$D,3,FALSE)</f>
        <v>0.78549999999999998</v>
      </c>
      <c r="G8" s="4" t="s">
        <v>8</v>
      </c>
      <c r="H8" s="4" t="s">
        <v>7</v>
      </c>
    </row>
    <row r="9" spans="1:8" x14ac:dyDescent="0.3">
      <c r="A9" s="4" t="s">
        <v>16</v>
      </c>
      <c r="B9" s="4">
        <v>8</v>
      </c>
      <c r="C9" s="4" t="s">
        <v>527</v>
      </c>
      <c r="D9" s="4" t="s">
        <v>520</v>
      </c>
      <c r="E9" s="4">
        <v>133339</v>
      </c>
      <c r="F9" s="6">
        <f>VLOOKUP(A9,'[1]Turn Out'!$B:$D,3,FALSE)</f>
        <v>0.77039999999999997</v>
      </c>
      <c r="G9" s="4" t="s">
        <v>8</v>
      </c>
      <c r="H9" s="4" t="s">
        <v>7</v>
      </c>
    </row>
    <row r="10" spans="1:8" x14ac:dyDescent="0.3">
      <c r="A10" s="4" t="s">
        <v>17</v>
      </c>
      <c r="B10" s="4">
        <v>9</v>
      </c>
      <c r="C10" s="4" t="s">
        <v>528</v>
      </c>
      <c r="D10" s="4" t="s">
        <v>520</v>
      </c>
      <c r="E10" s="4">
        <v>190462</v>
      </c>
      <c r="F10" s="6" t="e">
        <f>VLOOKUP(A10,'[1]Turn Out'!$B:$D,3,FALSE)</f>
        <v>#N/A</v>
      </c>
      <c r="G10" s="4" t="s">
        <v>8</v>
      </c>
      <c r="H10" s="4" t="s">
        <v>7</v>
      </c>
    </row>
    <row r="11" spans="1:8" x14ac:dyDescent="0.3">
      <c r="A11" s="4" t="s">
        <v>18</v>
      </c>
      <c r="B11" s="4">
        <v>10</v>
      </c>
      <c r="C11" s="4" t="s">
        <v>529</v>
      </c>
      <c r="D11" s="4" t="s">
        <v>520</v>
      </c>
      <c r="E11" s="4">
        <v>110067</v>
      </c>
      <c r="F11" s="6">
        <f>VLOOKUP(A11,'[1]Turn Out'!$B:$D,3,FALSE)</f>
        <v>0.84409999999999996</v>
      </c>
      <c r="G11" s="4" t="s">
        <v>8</v>
      </c>
      <c r="H11" s="4" t="s">
        <v>7</v>
      </c>
    </row>
    <row r="12" spans="1:8" x14ac:dyDescent="0.3">
      <c r="A12" s="4" t="s">
        <v>19</v>
      </c>
      <c r="B12" s="4">
        <v>11</v>
      </c>
      <c r="C12" s="4" t="s">
        <v>530</v>
      </c>
      <c r="D12" s="4" t="s">
        <v>520</v>
      </c>
      <c r="E12" s="4">
        <v>97800</v>
      </c>
      <c r="F12" s="6">
        <f>VLOOKUP(A12,'[1]Turn Out'!$B:$D,3,FALSE)</f>
        <v>0.90600000000000003</v>
      </c>
      <c r="G12" s="4" t="s">
        <v>8</v>
      </c>
      <c r="H12" s="4" t="s">
        <v>7</v>
      </c>
    </row>
    <row r="13" spans="1:8" x14ac:dyDescent="0.3">
      <c r="A13" s="4" t="s">
        <v>21</v>
      </c>
      <c r="B13" s="4">
        <v>12</v>
      </c>
      <c r="C13" s="4" t="s">
        <v>531</v>
      </c>
      <c r="D13" s="4" t="s">
        <v>520</v>
      </c>
      <c r="E13" s="4">
        <v>120365</v>
      </c>
      <c r="F13" s="6">
        <f>VLOOKUP(A13,'[1]Turn Out'!$B:$D,3,FALSE)</f>
        <v>0.89729999999999999</v>
      </c>
      <c r="G13" s="4" t="s">
        <v>8</v>
      </c>
      <c r="H13" s="4" t="s">
        <v>7</v>
      </c>
    </row>
    <row r="14" spans="1:8" x14ac:dyDescent="0.3">
      <c r="A14" s="4" t="s">
        <v>22</v>
      </c>
      <c r="B14" s="4">
        <v>13</v>
      </c>
      <c r="C14" s="4" t="s">
        <v>532</v>
      </c>
      <c r="D14" s="4" t="s">
        <v>520</v>
      </c>
      <c r="E14" s="4">
        <v>82997</v>
      </c>
      <c r="F14" s="6">
        <f>VLOOKUP(A14,'[1]Turn Out'!$B:$D,3,FALSE)</f>
        <v>0.86109999999999998</v>
      </c>
      <c r="G14" s="4" t="s">
        <v>8</v>
      </c>
      <c r="H14" s="4" t="s">
        <v>7</v>
      </c>
    </row>
    <row r="15" spans="1:8" x14ac:dyDescent="0.3">
      <c r="A15" s="4" t="s">
        <v>23</v>
      </c>
      <c r="B15" s="4">
        <v>14</v>
      </c>
      <c r="C15" s="4" t="s">
        <v>533</v>
      </c>
      <c r="D15" s="4" t="s">
        <v>520</v>
      </c>
      <c r="E15" s="4">
        <v>66445</v>
      </c>
      <c r="F15" s="6">
        <f>VLOOKUP(A15,'[1]Turn Out'!$B:$D,3,FALSE)</f>
        <v>0.86</v>
      </c>
      <c r="G15" s="4" t="s">
        <v>8</v>
      </c>
      <c r="H15" s="4" t="s">
        <v>7</v>
      </c>
    </row>
    <row r="16" spans="1:8" x14ac:dyDescent="0.3">
      <c r="A16" s="4" t="s">
        <v>24</v>
      </c>
      <c r="B16" s="4">
        <v>15</v>
      </c>
      <c r="C16" s="4" t="s">
        <v>534</v>
      </c>
      <c r="D16" s="4" t="s">
        <v>520</v>
      </c>
      <c r="E16" s="4">
        <v>69125</v>
      </c>
      <c r="F16" s="6">
        <f>VLOOKUP(A16,'[1]Turn Out'!$B:$D,3,FALSE)</f>
        <v>0.78700000000000003</v>
      </c>
      <c r="G16" s="4" t="s">
        <v>10</v>
      </c>
      <c r="H16" s="4" t="s">
        <v>7</v>
      </c>
    </row>
    <row r="17" spans="1:8" x14ac:dyDescent="0.3">
      <c r="A17" s="4" t="s">
        <v>25</v>
      </c>
      <c r="B17" s="4">
        <v>16</v>
      </c>
      <c r="C17" s="4" t="s">
        <v>535</v>
      </c>
      <c r="D17" s="4" t="s">
        <v>520</v>
      </c>
      <c r="E17" s="4">
        <v>53901</v>
      </c>
      <c r="F17" s="6">
        <f>VLOOKUP(A17,'[1]Turn Out'!$B:$D,3,FALSE)</f>
        <v>0.85550000000000004</v>
      </c>
      <c r="G17" s="4" t="s">
        <v>10</v>
      </c>
      <c r="H17" s="4" t="s">
        <v>7</v>
      </c>
    </row>
    <row r="18" spans="1:8" x14ac:dyDescent="0.3">
      <c r="A18" s="4" t="s">
        <v>26</v>
      </c>
      <c r="B18" s="4">
        <v>17</v>
      </c>
      <c r="C18" s="4" t="s">
        <v>537</v>
      </c>
      <c r="D18" s="4" t="s">
        <v>520</v>
      </c>
      <c r="E18" s="4">
        <v>59091</v>
      </c>
      <c r="F18" s="6">
        <f>VLOOKUP(A18,'[1]Turn Out'!$B:$D,3,FALSE)</f>
        <v>0.79349999999999998</v>
      </c>
      <c r="G18" s="4" t="s">
        <v>8</v>
      </c>
      <c r="H18" s="4" t="s">
        <v>7</v>
      </c>
    </row>
    <row r="19" spans="1:8" x14ac:dyDescent="0.3">
      <c r="A19" s="4" t="s">
        <v>27</v>
      </c>
      <c r="B19" s="4">
        <v>18</v>
      </c>
      <c r="C19" s="4" t="s">
        <v>538</v>
      </c>
      <c r="D19" s="4" t="s">
        <v>267</v>
      </c>
      <c r="E19" s="4">
        <v>45254</v>
      </c>
      <c r="F19" s="6">
        <f>VLOOKUP(A19,'[1]Turn Out'!$B:$D,3,FALSE)</f>
        <v>0.82750000000000001</v>
      </c>
      <c r="G19" s="4" t="s">
        <v>8</v>
      </c>
      <c r="H19" s="4" t="s">
        <v>7</v>
      </c>
    </row>
    <row r="20" spans="1:8" x14ac:dyDescent="0.3">
      <c r="A20" s="4" t="s">
        <v>28</v>
      </c>
      <c r="B20" s="4">
        <v>19</v>
      </c>
      <c r="C20" s="4" t="s">
        <v>294</v>
      </c>
      <c r="D20" s="4" t="s">
        <v>267</v>
      </c>
      <c r="E20" s="4">
        <v>62992</v>
      </c>
      <c r="F20" s="6">
        <f>VLOOKUP(A20,'[1]Turn Out'!$B:$D,3,FALSE)</f>
        <v>0.84340000000000004</v>
      </c>
      <c r="G20" s="4" t="s">
        <v>8</v>
      </c>
      <c r="H20" s="4" t="s">
        <v>7</v>
      </c>
    </row>
    <row r="21" spans="1:8" x14ac:dyDescent="0.3">
      <c r="A21" s="4" t="s">
        <v>29</v>
      </c>
      <c r="B21" s="4">
        <v>20</v>
      </c>
      <c r="C21" s="4" t="s">
        <v>539</v>
      </c>
      <c r="D21" s="4" t="s">
        <v>520</v>
      </c>
      <c r="E21" s="4">
        <v>58965</v>
      </c>
      <c r="F21" s="6">
        <f>VLOOKUP(A21,'[1]Turn Out'!$B:$D,3,FALSE)</f>
        <v>0.83089999999999997</v>
      </c>
      <c r="G21" s="4" t="s">
        <v>8</v>
      </c>
      <c r="H21" s="4" t="s">
        <v>7</v>
      </c>
    </row>
    <row r="22" spans="1:8" x14ac:dyDescent="0.3">
      <c r="A22" s="4" t="s">
        <v>30</v>
      </c>
      <c r="B22" s="4">
        <v>21</v>
      </c>
      <c r="C22" s="4" t="s">
        <v>540</v>
      </c>
      <c r="D22" s="4" t="s">
        <v>520</v>
      </c>
      <c r="E22" s="4">
        <v>71375</v>
      </c>
      <c r="F22" s="6">
        <f>VLOOKUP(A22,'[1]Turn Out'!$B:$D,3,FALSE)</f>
        <v>0.85650000000000004</v>
      </c>
      <c r="G22" s="4" t="s">
        <v>8</v>
      </c>
      <c r="H22" s="4" t="s">
        <v>7</v>
      </c>
    </row>
    <row r="23" spans="1:8" x14ac:dyDescent="0.3">
      <c r="A23" s="4" t="s">
        <v>31</v>
      </c>
      <c r="B23" s="4">
        <v>22</v>
      </c>
      <c r="C23" s="4" t="s">
        <v>541</v>
      </c>
      <c r="D23" s="4" t="s">
        <v>520</v>
      </c>
      <c r="E23" s="4">
        <v>76092</v>
      </c>
      <c r="F23" s="6" t="e">
        <f>VLOOKUP(A23,'[1]Turn Out'!$B:$D,3,FALSE)</f>
        <v>#N/A</v>
      </c>
      <c r="G23" s="4" t="s">
        <v>8</v>
      </c>
      <c r="H23" s="4" t="s">
        <v>7</v>
      </c>
    </row>
    <row r="24" spans="1:8" x14ac:dyDescent="0.3">
      <c r="A24" s="4" t="s">
        <v>32</v>
      </c>
      <c r="B24" s="4">
        <v>23</v>
      </c>
      <c r="C24" s="4" t="s">
        <v>542</v>
      </c>
      <c r="D24" s="4" t="s">
        <v>520</v>
      </c>
      <c r="E24" s="4">
        <v>81205</v>
      </c>
      <c r="F24" s="6">
        <f>VLOOKUP(A24,'[1]Turn Out'!$B:$D,3,FALSE)</f>
        <v>0.77849999999999997</v>
      </c>
      <c r="G24" s="4" t="s">
        <v>8</v>
      </c>
      <c r="H24" s="4" t="s">
        <v>7</v>
      </c>
    </row>
    <row r="25" spans="1:8" x14ac:dyDescent="0.3">
      <c r="A25" s="4" t="s">
        <v>33</v>
      </c>
      <c r="B25" s="4">
        <v>24</v>
      </c>
      <c r="C25" s="4" t="s">
        <v>543</v>
      </c>
      <c r="D25" s="4" t="s">
        <v>520</v>
      </c>
      <c r="E25" s="4">
        <v>51632</v>
      </c>
      <c r="F25" s="6" t="e">
        <f>VLOOKUP(A25,'[1]Turn Out'!$B:$D,3,FALSE)</f>
        <v>#N/A</v>
      </c>
      <c r="G25" s="4" t="s">
        <v>8</v>
      </c>
      <c r="H25" s="4" t="s">
        <v>7</v>
      </c>
    </row>
    <row r="26" spans="1:8" x14ac:dyDescent="0.3">
      <c r="A26" s="4" t="s">
        <v>34</v>
      </c>
      <c r="B26" s="4">
        <v>25</v>
      </c>
      <c r="C26" s="4" t="s">
        <v>544</v>
      </c>
      <c r="D26" s="4" t="s">
        <v>520</v>
      </c>
      <c r="E26" s="4">
        <v>70070</v>
      </c>
      <c r="F26" s="6">
        <f>VLOOKUP(A26,'[1]Turn Out'!$B:$D,3,FALSE)</f>
        <v>0.74890000000000001</v>
      </c>
      <c r="G26" s="4" t="s">
        <v>8</v>
      </c>
      <c r="H26" s="4" t="s">
        <v>7</v>
      </c>
    </row>
    <row r="27" spans="1:8" x14ac:dyDescent="0.3">
      <c r="A27" s="4" t="s">
        <v>35</v>
      </c>
      <c r="B27" s="4">
        <v>26</v>
      </c>
      <c r="C27" s="4" t="s">
        <v>545</v>
      </c>
      <c r="D27" s="4" t="s">
        <v>520</v>
      </c>
      <c r="E27" s="4">
        <v>80430</v>
      </c>
      <c r="F27" s="6">
        <f>VLOOKUP(A27,'[1]Turn Out'!$B:$D,3,FALSE)</f>
        <v>0.84499999999999997</v>
      </c>
      <c r="G27" s="4" t="s">
        <v>8</v>
      </c>
      <c r="H27" s="4" t="s">
        <v>7</v>
      </c>
    </row>
    <row r="28" spans="1:8" x14ac:dyDescent="0.3">
      <c r="A28" s="4" t="s">
        <v>36</v>
      </c>
      <c r="B28" s="4">
        <v>27</v>
      </c>
      <c r="C28" s="4" t="s">
        <v>546</v>
      </c>
      <c r="D28" s="4" t="s">
        <v>520</v>
      </c>
      <c r="E28" s="4">
        <v>220382</v>
      </c>
      <c r="F28" s="6" t="e">
        <f>VLOOKUP(A28,'[1]Turn Out'!$B:$D,3,FALSE)</f>
        <v>#N/A</v>
      </c>
      <c r="G28" s="4" t="s">
        <v>8</v>
      </c>
      <c r="H28" s="4" t="s">
        <v>7</v>
      </c>
    </row>
    <row r="29" spans="1:8" x14ac:dyDescent="0.3">
      <c r="A29" s="4" t="s">
        <v>38</v>
      </c>
      <c r="B29" s="4">
        <v>28</v>
      </c>
      <c r="C29" s="4" t="s">
        <v>547</v>
      </c>
      <c r="D29" s="4" t="s">
        <v>520</v>
      </c>
      <c r="E29" s="4">
        <v>112205</v>
      </c>
      <c r="F29" s="6">
        <f>VLOOKUP(A29,'[1]Turn Out'!$B:$D,3,FALSE)</f>
        <v>0.86150000000000004</v>
      </c>
      <c r="G29" s="4" t="s">
        <v>8</v>
      </c>
      <c r="H29" s="4" t="s">
        <v>7</v>
      </c>
    </row>
    <row r="30" spans="1:8" x14ac:dyDescent="0.3">
      <c r="A30" s="4" t="s">
        <v>39</v>
      </c>
      <c r="B30" s="4">
        <v>29</v>
      </c>
      <c r="C30" s="4" t="s">
        <v>548</v>
      </c>
      <c r="D30" s="4" t="s">
        <v>520</v>
      </c>
      <c r="E30" s="4">
        <v>147611</v>
      </c>
      <c r="F30" s="6">
        <f>VLOOKUP(A30,'[1]Turn Out'!$B:$D,3,FALSE)</f>
        <v>0.86119999999999997</v>
      </c>
      <c r="G30" s="4" t="s">
        <v>10</v>
      </c>
      <c r="H30" s="4" t="s">
        <v>7</v>
      </c>
    </row>
    <row r="31" spans="1:8" x14ac:dyDescent="0.3">
      <c r="A31" s="4" t="s">
        <v>40</v>
      </c>
      <c r="B31" s="4">
        <v>30</v>
      </c>
      <c r="C31" s="4" t="s">
        <v>549</v>
      </c>
      <c r="D31" s="4" t="s">
        <v>520</v>
      </c>
      <c r="E31" s="4">
        <v>133611</v>
      </c>
      <c r="F31" s="6">
        <f>VLOOKUP(A31,'[1]Turn Out'!$B:$D,3,FALSE)</f>
        <v>0.83630000000000004</v>
      </c>
      <c r="G31" s="4" t="s">
        <v>8</v>
      </c>
      <c r="H31" s="4" t="s">
        <v>7</v>
      </c>
    </row>
    <row r="32" spans="1:8" x14ac:dyDescent="0.3">
      <c r="A32" s="4" t="s">
        <v>41</v>
      </c>
      <c r="B32" s="4">
        <v>31</v>
      </c>
      <c r="C32" s="4" t="s">
        <v>550</v>
      </c>
      <c r="D32" s="4" t="s">
        <v>520</v>
      </c>
      <c r="E32" s="4">
        <v>118967</v>
      </c>
      <c r="F32" s="6">
        <f>VLOOKUP(A32,'[1]Turn Out'!$B:$D,3,FALSE)</f>
        <v>0.83940000000000003</v>
      </c>
      <c r="G32" s="4" t="s">
        <v>8</v>
      </c>
      <c r="H32" s="4" t="s">
        <v>7</v>
      </c>
    </row>
    <row r="33" spans="1:8" x14ac:dyDescent="0.3">
      <c r="A33" s="4" t="s">
        <v>42</v>
      </c>
      <c r="B33" s="4">
        <v>32</v>
      </c>
      <c r="C33" s="4" t="s">
        <v>551</v>
      </c>
      <c r="D33" s="4" t="s">
        <v>520</v>
      </c>
      <c r="E33" s="4">
        <v>137136</v>
      </c>
      <c r="F33" s="6">
        <f>VLOOKUP(A33,'[1]Turn Out'!$B:$D,3,FALSE)</f>
        <v>0.86419999999999997</v>
      </c>
      <c r="G33" s="4" t="s">
        <v>8</v>
      </c>
      <c r="H33" s="4" t="s">
        <v>7</v>
      </c>
    </row>
    <row r="34" spans="1:8" x14ac:dyDescent="0.3">
      <c r="A34" s="4" t="s">
        <v>43</v>
      </c>
      <c r="B34" s="4">
        <v>33</v>
      </c>
      <c r="C34" s="4" t="s">
        <v>552</v>
      </c>
      <c r="D34" s="4" t="s">
        <v>520</v>
      </c>
      <c r="E34" s="4">
        <v>110095</v>
      </c>
      <c r="F34" s="6">
        <f>VLOOKUP(A34,'[1]Turn Out'!$B:$D,3,FALSE)</f>
        <v>0.8871</v>
      </c>
      <c r="G34" s="4" t="s">
        <v>8</v>
      </c>
      <c r="H34" s="4" t="s">
        <v>44</v>
      </c>
    </row>
    <row r="35" spans="1:8" x14ac:dyDescent="0.3">
      <c r="A35" s="4" t="s">
        <v>45</v>
      </c>
      <c r="B35" s="4">
        <v>34</v>
      </c>
      <c r="C35" s="4" t="s">
        <v>553</v>
      </c>
      <c r="D35" s="4" t="s">
        <v>272</v>
      </c>
      <c r="E35" s="4">
        <v>63809</v>
      </c>
      <c r="F35" s="6">
        <f>VLOOKUP(A35,'[1]Turn Out'!$B:$D,3,FALSE)</f>
        <v>0.91020000000000001</v>
      </c>
      <c r="G35" s="4" t="s">
        <v>10</v>
      </c>
      <c r="H35" s="4" t="s">
        <v>44</v>
      </c>
    </row>
    <row r="36" spans="1:8" x14ac:dyDescent="0.3">
      <c r="A36" s="4" t="s">
        <v>46</v>
      </c>
      <c r="B36" s="4">
        <v>35</v>
      </c>
      <c r="C36" s="4" t="s">
        <v>554</v>
      </c>
      <c r="D36" s="4" t="s">
        <v>272</v>
      </c>
      <c r="E36" s="4">
        <v>69284</v>
      </c>
      <c r="F36" s="6" t="e">
        <f>VLOOKUP(A36,'[1]Turn Out'!$B:$D,3,FALSE)</f>
        <v>#N/A</v>
      </c>
      <c r="G36" s="4" t="s">
        <v>10</v>
      </c>
      <c r="H36" s="4" t="s">
        <v>44</v>
      </c>
    </row>
    <row r="37" spans="1:8" x14ac:dyDescent="0.3">
      <c r="A37" s="4" t="s">
        <v>47</v>
      </c>
      <c r="B37" s="4">
        <v>36</v>
      </c>
      <c r="C37" s="4" t="s">
        <v>555</v>
      </c>
      <c r="D37" s="4" t="s">
        <v>520</v>
      </c>
      <c r="E37" s="4">
        <v>84917</v>
      </c>
      <c r="F37" s="6">
        <f>VLOOKUP(A37,'[1]Turn Out'!$B:$D,3,FALSE)</f>
        <v>0.91149999999999998</v>
      </c>
      <c r="G37" s="4" t="s">
        <v>8</v>
      </c>
      <c r="H37" s="4" t="s">
        <v>44</v>
      </c>
    </row>
    <row r="38" spans="1:8" x14ac:dyDescent="0.3">
      <c r="A38" s="4" t="s">
        <v>48</v>
      </c>
      <c r="B38" s="4">
        <v>37</v>
      </c>
      <c r="C38" s="4" t="s">
        <v>556</v>
      </c>
      <c r="D38" s="4" t="s">
        <v>520</v>
      </c>
      <c r="E38" s="4">
        <v>91350</v>
      </c>
      <c r="F38" s="6">
        <f>VLOOKUP(A38,'[1]Turn Out'!$B:$D,3,FALSE)</f>
        <v>0.87150000000000005</v>
      </c>
      <c r="G38" s="4" t="s">
        <v>8</v>
      </c>
      <c r="H38" s="4" t="s">
        <v>44</v>
      </c>
    </row>
    <row r="39" spans="1:8" x14ac:dyDescent="0.3">
      <c r="A39" s="4" t="s">
        <v>49</v>
      </c>
      <c r="B39" s="4">
        <v>38</v>
      </c>
      <c r="C39" s="4" t="s">
        <v>557</v>
      </c>
      <c r="D39" s="4" t="s">
        <v>520</v>
      </c>
      <c r="E39" s="4">
        <v>73776</v>
      </c>
      <c r="F39" s="6" t="e">
        <f>VLOOKUP(A39,'[1]Turn Out'!$B:$D,3,FALSE)</f>
        <v>#N/A</v>
      </c>
      <c r="G39" s="4" t="s">
        <v>10</v>
      </c>
      <c r="H39" s="4" t="s">
        <v>44</v>
      </c>
    </row>
    <row r="40" spans="1:8" x14ac:dyDescent="0.3">
      <c r="A40" s="4" t="s">
        <v>51</v>
      </c>
      <c r="B40" s="4">
        <v>39</v>
      </c>
      <c r="C40" s="4" t="s">
        <v>558</v>
      </c>
      <c r="D40" s="4" t="s">
        <v>520</v>
      </c>
      <c r="E40" s="4">
        <v>84506</v>
      </c>
      <c r="F40" s="6">
        <f>VLOOKUP(A40,'[1]Turn Out'!$B:$D,3,FALSE)</f>
        <v>0.89959999999999996</v>
      </c>
      <c r="G40" s="4" t="s">
        <v>8</v>
      </c>
      <c r="H40" s="4" t="s">
        <v>44</v>
      </c>
    </row>
    <row r="41" spans="1:8" x14ac:dyDescent="0.3">
      <c r="A41" s="4" t="s">
        <v>52</v>
      </c>
      <c r="B41" s="4">
        <v>40</v>
      </c>
      <c r="C41" s="4" t="s">
        <v>559</v>
      </c>
      <c r="D41" s="4" t="s">
        <v>520</v>
      </c>
      <c r="E41" s="4">
        <v>69868</v>
      </c>
      <c r="F41" s="6">
        <f>VLOOKUP(A41,'[1]Turn Out'!$B:$D,3,FALSE)</f>
        <v>0.88060000000000005</v>
      </c>
      <c r="G41" s="4" t="s">
        <v>8</v>
      </c>
      <c r="H41" s="4" t="s">
        <v>44</v>
      </c>
    </row>
    <row r="42" spans="1:8" x14ac:dyDescent="0.3">
      <c r="A42" s="4" t="s">
        <v>53</v>
      </c>
      <c r="B42" s="4">
        <v>41</v>
      </c>
      <c r="C42" s="4" t="s">
        <v>560</v>
      </c>
      <c r="D42" s="4" t="s">
        <v>520</v>
      </c>
      <c r="E42" s="4">
        <v>91149</v>
      </c>
      <c r="F42" s="6">
        <f>VLOOKUP(A42,'[1]Turn Out'!$B:$D,3,FALSE)</f>
        <v>0.8851</v>
      </c>
      <c r="G42" s="4" t="s">
        <v>8</v>
      </c>
      <c r="H42" s="4" t="s">
        <v>44</v>
      </c>
    </row>
    <row r="43" spans="1:8" x14ac:dyDescent="0.3">
      <c r="A43" s="4" t="s">
        <v>54</v>
      </c>
      <c r="B43" s="4">
        <v>42</v>
      </c>
      <c r="C43" s="4" t="s">
        <v>561</v>
      </c>
      <c r="D43" s="4" t="s">
        <v>272</v>
      </c>
      <c r="E43" s="4">
        <v>105608</v>
      </c>
      <c r="F43" s="6">
        <f>VLOOKUP(A43,'[1]Turn Out'!$B:$D,3,FALSE)</f>
        <v>0.9103</v>
      </c>
      <c r="G43" s="4" t="s">
        <v>8</v>
      </c>
      <c r="H43" s="4" t="s">
        <v>44</v>
      </c>
    </row>
    <row r="44" spans="1:8" x14ac:dyDescent="0.3">
      <c r="A44" s="4" t="s">
        <v>50</v>
      </c>
      <c r="B44" s="4">
        <v>43</v>
      </c>
      <c r="C44" s="4" t="s">
        <v>562</v>
      </c>
      <c r="D44" s="4" t="s">
        <v>520</v>
      </c>
      <c r="E44" s="4">
        <v>73032</v>
      </c>
      <c r="F44" s="6">
        <f>VLOOKUP(A44,'[1]Turn Out'!$B:$D,3,FALSE)</f>
        <v>0.87980000000000003</v>
      </c>
      <c r="G44" s="4" t="s">
        <v>8</v>
      </c>
      <c r="H44" s="4" t="s">
        <v>44</v>
      </c>
    </row>
    <row r="45" spans="1:8" x14ac:dyDescent="0.3">
      <c r="A45" s="4" t="s">
        <v>55</v>
      </c>
      <c r="B45" s="4">
        <v>44</v>
      </c>
      <c r="C45" s="4" t="s">
        <v>563</v>
      </c>
      <c r="D45" s="4" t="s">
        <v>272</v>
      </c>
      <c r="E45" s="4">
        <v>76302</v>
      </c>
      <c r="F45" s="6">
        <f>VLOOKUP(A45,'[1]Turn Out'!$B:$D,3,FALSE)</f>
        <v>0.89690000000000003</v>
      </c>
      <c r="G45" s="4" t="s">
        <v>8</v>
      </c>
      <c r="H45" s="4" t="s">
        <v>44</v>
      </c>
    </row>
    <row r="46" spans="1:8" x14ac:dyDescent="0.3">
      <c r="A46" s="4" t="s">
        <v>56</v>
      </c>
      <c r="B46" s="4">
        <v>45</v>
      </c>
      <c r="C46" s="4" t="s">
        <v>564</v>
      </c>
      <c r="D46" s="4" t="s">
        <v>520</v>
      </c>
      <c r="E46" s="4">
        <v>74305</v>
      </c>
      <c r="F46" s="6">
        <f>VLOOKUP(A46,'[1]Turn Out'!$B:$D,3,FALSE)</f>
        <v>0.87250000000000005</v>
      </c>
      <c r="G46" s="4" t="s">
        <v>10</v>
      </c>
      <c r="H46" s="4" t="s">
        <v>44</v>
      </c>
    </row>
    <row r="47" spans="1:8" x14ac:dyDescent="0.3">
      <c r="A47" s="4" t="s">
        <v>57</v>
      </c>
      <c r="B47" s="4">
        <v>46</v>
      </c>
      <c r="C47" s="4" t="s">
        <v>565</v>
      </c>
      <c r="D47" s="4" t="s">
        <v>520</v>
      </c>
      <c r="E47" s="4">
        <v>82858</v>
      </c>
      <c r="F47" s="6" t="e">
        <f>VLOOKUP(A47,'[1]Turn Out'!$B:$D,3,FALSE)</f>
        <v>#N/A</v>
      </c>
      <c r="G47" s="4" t="s">
        <v>10</v>
      </c>
      <c r="H47" s="4" t="s">
        <v>44</v>
      </c>
    </row>
    <row r="48" spans="1:8" x14ac:dyDescent="0.3">
      <c r="A48" s="4" t="s">
        <v>58</v>
      </c>
      <c r="B48" s="4">
        <v>47</v>
      </c>
      <c r="C48" s="4" t="s">
        <v>566</v>
      </c>
      <c r="D48" s="4" t="s">
        <v>326</v>
      </c>
      <c r="E48" s="4">
        <v>73181</v>
      </c>
      <c r="F48" s="6" t="e">
        <f>VLOOKUP(A48,'[1]Turn Out'!$B:$D,3,FALSE)</f>
        <v>#N/A</v>
      </c>
      <c r="G48" s="4" t="s">
        <v>8</v>
      </c>
      <c r="H48" s="4" t="s">
        <v>44</v>
      </c>
    </row>
    <row r="49" spans="1:8" x14ac:dyDescent="0.3">
      <c r="A49" s="4" t="s">
        <v>59</v>
      </c>
      <c r="B49" s="4">
        <v>48</v>
      </c>
      <c r="C49" s="4" t="s">
        <v>567</v>
      </c>
      <c r="D49" s="4" t="s">
        <v>267</v>
      </c>
      <c r="E49" s="4">
        <v>74102</v>
      </c>
      <c r="F49" s="6">
        <f>VLOOKUP(A49,'[1]Turn Out'!$B:$D,3,FALSE)</f>
        <v>0.90669999999999995</v>
      </c>
      <c r="G49" s="4" t="s">
        <v>8</v>
      </c>
      <c r="H49" s="4" t="s">
        <v>44</v>
      </c>
    </row>
    <row r="50" spans="1:8" x14ac:dyDescent="0.3">
      <c r="A50" s="4" t="s">
        <v>60</v>
      </c>
      <c r="B50" s="4">
        <v>49</v>
      </c>
      <c r="C50" s="4" t="s">
        <v>569</v>
      </c>
      <c r="D50" s="4" t="s">
        <v>272</v>
      </c>
      <c r="E50" s="4">
        <v>78633</v>
      </c>
      <c r="F50" s="6">
        <f>VLOOKUP(A50,'[1]Turn Out'!$B:$D,3,FALSE)</f>
        <v>0.89449999999999996</v>
      </c>
      <c r="G50" s="4" t="s">
        <v>8</v>
      </c>
      <c r="H50" s="4" t="s">
        <v>44</v>
      </c>
    </row>
    <row r="51" spans="1:8" x14ac:dyDescent="0.3">
      <c r="A51" s="4" t="s">
        <v>61</v>
      </c>
      <c r="B51" s="4">
        <v>50</v>
      </c>
      <c r="C51" s="4" t="s">
        <v>570</v>
      </c>
      <c r="D51" s="4" t="s">
        <v>520</v>
      </c>
      <c r="E51" s="4">
        <v>105098</v>
      </c>
      <c r="F51" s="6">
        <f>VLOOKUP(A51,'[1]Turn Out'!$B:$D,3,FALSE)</f>
        <v>0.77449999999999997</v>
      </c>
      <c r="G51" s="4" t="s">
        <v>8</v>
      </c>
      <c r="H51" s="4" t="s">
        <v>44</v>
      </c>
    </row>
    <row r="52" spans="1:8" x14ac:dyDescent="0.3">
      <c r="A52" s="4" t="s">
        <v>62</v>
      </c>
      <c r="B52" s="4">
        <v>51</v>
      </c>
      <c r="C52" s="4" t="s">
        <v>572</v>
      </c>
      <c r="D52" s="4" t="s">
        <v>520</v>
      </c>
      <c r="E52" s="4">
        <v>70201</v>
      </c>
      <c r="F52" s="6">
        <f>VLOOKUP(A52,'[1]Turn Out'!$B:$D,3,FALSE)</f>
        <v>0.86150000000000004</v>
      </c>
      <c r="G52" s="4" t="s">
        <v>10</v>
      </c>
      <c r="H52" s="4" t="s">
        <v>44</v>
      </c>
    </row>
    <row r="53" spans="1:8" x14ac:dyDescent="0.3">
      <c r="A53" s="4" t="s">
        <v>64</v>
      </c>
      <c r="B53" s="4">
        <v>52</v>
      </c>
      <c r="C53" s="4" t="s">
        <v>573</v>
      </c>
      <c r="D53" s="4" t="s">
        <v>272</v>
      </c>
      <c r="E53" s="4">
        <v>71240</v>
      </c>
      <c r="F53" s="6">
        <f>VLOOKUP(A53,'[1]Turn Out'!$B:$D,3,FALSE)</f>
        <v>0.88009999999999999</v>
      </c>
      <c r="G53" s="4" t="s">
        <v>8</v>
      </c>
      <c r="H53" s="4" t="s">
        <v>44</v>
      </c>
    </row>
    <row r="54" spans="1:8" x14ac:dyDescent="0.3">
      <c r="A54" s="4" t="s">
        <v>63</v>
      </c>
      <c r="B54" s="4">
        <v>53</v>
      </c>
      <c r="C54" s="4" t="s">
        <v>574</v>
      </c>
      <c r="D54" s="4" t="s">
        <v>520</v>
      </c>
      <c r="E54" s="4">
        <v>89374</v>
      </c>
      <c r="F54" s="6">
        <f>VLOOKUP(A54,'[1]Turn Out'!$B:$D,3,FALSE)</f>
        <v>0.84850000000000003</v>
      </c>
      <c r="G54" s="4" t="s">
        <v>8</v>
      </c>
      <c r="H54" s="4" t="s">
        <v>44</v>
      </c>
    </row>
    <row r="55" spans="1:8" x14ac:dyDescent="0.3">
      <c r="A55" s="4" t="s">
        <v>65</v>
      </c>
      <c r="B55" s="4">
        <v>54</v>
      </c>
      <c r="C55" s="4" t="s">
        <v>575</v>
      </c>
      <c r="D55" s="4" t="s">
        <v>267</v>
      </c>
      <c r="E55" s="4">
        <v>74691</v>
      </c>
      <c r="F55" s="6">
        <f>VLOOKUP(A55,'[1]Turn Out'!$B:$D,3,FALSE)</f>
        <v>0.89839999999999998</v>
      </c>
      <c r="G55" s="4" t="s">
        <v>8</v>
      </c>
      <c r="H55" s="4" t="s">
        <v>44</v>
      </c>
    </row>
    <row r="56" spans="1:8" x14ac:dyDescent="0.3">
      <c r="A56" s="4" t="s">
        <v>66</v>
      </c>
      <c r="B56" s="4">
        <v>55</v>
      </c>
      <c r="C56" s="4" t="s">
        <v>576</v>
      </c>
      <c r="D56" s="4" t="s">
        <v>272</v>
      </c>
      <c r="E56" s="4">
        <v>109867</v>
      </c>
      <c r="F56" s="6">
        <f>VLOOKUP(A56,'[1]Turn Out'!$B:$D,3,FALSE)</f>
        <v>0.80349999999999999</v>
      </c>
      <c r="G56" s="4" t="s">
        <v>8</v>
      </c>
      <c r="H56" s="4" t="s">
        <v>44</v>
      </c>
    </row>
    <row r="57" spans="1:8" x14ac:dyDescent="0.3">
      <c r="A57" s="4" t="s">
        <v>67</v>
      </c>
      <c r="B57" s="4">
        <v>56</v>
      </c>
      <c r="C57" s="4" t="s">
        <v>577</v>
      </c>
      <c r="D57" s="4" t="s">
        <v>335</v>
      </c>
      <c r="E57" s="4">
        <v>78283</v>
      </c>
      <c r="F57" s="6">
        <f>VLOOKUP(A57,'[1]Turn Out'!$B:$D,3,FALSE)</f>
        <v>0.8589</v>
      </c>
      <c r="G57" s="4" t="s">
        <v>8</v>
      </c>
      <c r="H57" s="4" t="s">
        <v>44</v>
      </c>
    </row>
    <row r="58" spans="1:8" x14ac:dyDescent="0.3">
      <c r="A58" s="4" t="s">
        <v>68</v>
      </c>
      <c r="B58" s="4">
        <v>57</v>
      </c>
      <c r="C58" s="4" t="s">
        <v>578</v>
      </c>
      <c r="D58" s="4" t="s">
        <v>272</v>
      </c>
      <c r="E58" s="4">
        <v>102807</v>
      </c>
      <c r="F58" s="6">
        <f>VLOOKUP(A58,'[1]Turn Out'!$B:$D,3,FALSE)</f>
        <v>0.92569999999999997</v>
      </c>
      <c r="G58" s="4" t="s">
        <v>8</v>
      </c>
      <c r="H58" s="4" t="s">
        <v>44</v>
      </c>
    </row>
    <row r="59" spans="1:8" x14ac:dyDescent="0.3">
      <c r="A59" s="4" t="s">
        <v>70</v>
      </c>
      <c r="B59" s="4">
        <v>58</v>
      </c>
      <c r="C59" s="4" t="s">
        <v>579</v>
      </c>
      <c r="D59" s="4" t="s">
        <v>520</v>
      </c>
      <c r="E59" s="4">
        <v>81240</v>
      </c>
      <c r="F59" s="6">
        <f>VLOOKUP(A59,'[1]Turn Out'!$B:$D,3,FALSE)</f>
        <v>0.90710000000000002</v>
      </c>
      <c r="G59" s="4" t="s">
        <v>8</v>
      </c>
      <c r="H59" s="4" t="s">
        <v>44</v>
      </c>
    </row>
    <row r="60" spans="1:8" x14ac:dyDescent="0.3">
      <c r="A60" s="4" t="s">
        <v>69</v>
      </c>
      <c r="B60" s="4">
        <v>59</v>
      </c>
      <c r="C60" s="4" t="s">
        <v>580</v>
      </c>
      <c r="D60" s="4" t="s">
        <v>268</v>
      </c>
      <c r="E60" s="4">
        <v>93713</v>
      </c>
      <c r="F60" s="6">
        <f>VLOOKUP(A60,'[1]Turn Out'!$B:$D,3,FALSE)</f>
        <v>0.89439999999999997</v>
      </c>
      <c r="G60" s="4" t="s">
        <v>8</v>
      </c>
      <c r="H60" s="4" t="s">
        <v>44</v>
      </c>
    </row>
    <row r="61" spans="1:8" x14ac:dyDescent="0.3">
      <c r="A61" s="4" t="s">
        <v>71</v>
      </c>
      <c r="B61" s="4">
        <v>60</v>
      </c>
      <c r="C61" s="4" t="s">
        <v>581</v>
      </c>
      <c r="D61" s="4" t="s">
        <v>272</v>
      </c>
      <c r="E61" s="4">
        <v>101829</v>
      </c>
      <c r="F61" s="6">
        <f>VLOOKUP(A61,'[1]Turn Out'!$B:$D,3,FALSE)</f>
        <v>0.90359999999999996</v>
      </c>
      <c r="G61" s="4" t="s">
        <v>8</v>
      </c>
      <c r="H61" s="4" t="s">
        <v>44</v>
      </c>
    </row>
    <row r="62" spans="1:8" x14ac:dyDescent="0.3">
      <c r="A62" s="4" t="s">
        <v>72</v>
      </c>
      <c r="B62" s="4">
        <v>61</v>
      </c>
      <c r="C62" s="4" t="s">
        <v>582</v>
      </c>
      <c r="D62" s="4" t="s">
        <v>272</v>
      </c>
      <c r="E62" s="4">
        <v>75523</v>
      </c>
      <c r="F62" s="6">
        <f>VLOOKUP(A62,'[1]Turn Out'!$B:$D,3,FALSE)</f>
        <v>0.87660000000000005</v>
      </c>
      <c r="G62" s="4" t="s">
        <v>10</v>
      </c>
      <c r="H62" s="4" t="s">
        <v>44</v>
      </c>
    </row>
    <row r="63" spans="1:8" x14ac:dyDescent="0.3">
      <c r="A63" s="4" t="s">
        <v>73</v>
      </c>
      <c r="B63" s="4">
        <v>62</v>
      </c>
      <c r="C63" s="4" t="s">
        <v>583</v>
      </c>
      <c r="D63" s="4" t="s">
        <v>272</v>
      </c>
      <c r="E63" s="4">
        <v>87802</v>
      </c>
      <c r="F63" s="6">
        <f>VLOOKUP(A63,'[1]Turn Out'!$B:$D,3,FALSE)</f>
        <v>0.89459999999999995</v>
      </c>
      <c r="G63" s="4" t="s">
        <v>10</v>
      </c>
      <c r="H63" s="4" t="s">
        <v>44</v>
      </c>
    </row>
    <row r="64" spans="1:8" x14ac:dyDescent="0.3">
      <c r="A64" s="4" t="s">
        <v>74</v>
      </c>
      <c r="B64" s="4">
        <v>63</v>
      </c>
      <c r="C64" s="4" t="s">
        <v>584</v>
      </c>
      <c r="D64" s="4" t="s">
        <v>267</v>
      </c>
      <c r="E64" s="4">
        <v>88273</v>
      </c>
      <c r="F64" s="6">
        <f>VLOOKUP(A64,'[1]Turn Out'!$B:$D,3,FALSE)</f>
        <v>0.87319999999999998</v>
      </c>
      <c r="G64" s="4" t="s">
        <v>8</v>
      </c>
      <c r="H64" s="4" t="s">
        <v>44</v>
      </c>
    </row>
    <row r="65" spans="1:8" x14ac:dyDescent="0.3">
      <c r="A65" s="4" t="s">
        <v>75</v>
      </c>
      <c r="B65" s="4">
        <v>64</v>
      </c>
      <c r="C65" s="4" t="s">
        <v>585</v>
      </c>
      <c r="D65" s="4" t="s">
        <v>272</v>
      </c>
      <c r="E65" s="4">
        <v>90503</v>
      </c>
      <c r="F65" s="6">
        <f>VLOOKUP(A65,'[1]Turn Out'!$B:$D,3,FALSE)</f>
        <v>0.90300000000000002</v>
      </c>
      <c r="G65" s="4" t="s">
        <v>8</v>
      </c>
      <c r="H65" s="4" t="s">
        <v>44</v>
      </c>
    </row>
    <row r="66" spans="1:8" x14ac:dyDescent="0.3">
      <c r="A66" s="4" t="s">
        <v>76</v>
      </c>
      <c r="B66" s="4">
        <v>65</v>
      </c>
      <c r="C66" s="4" t="s">
        <v>586</v>
      </c>
      <c r="D66" s="4" t="s">
        <v>272</v>
      </c>
      <c r="E66" s="4">
        <v>89629</v>
      </c>
      <c r="F66" s="6">
        <f>VLOOKUP(A66,'[1]Turn Out'!$B:$D,3,FALSE)</f>
        <v>0.9103</v>
      </c>
      <c r="G66" s="4" t="s">
        <v>8</v>
      </c>
      <c r="H66" s="4" t="s">
        <v>44</v>
      </c>
    </row>
    <row r="67" spans="1:8" x14ac:dyDescent="0.3">
      <c r="A67" s="4" t="s">
        <v>77</v>
      </c>
      <c r="B67" s="4">
        <v>66</v>
      </c>
      <c r="C67" s="4" t="s">
        <v>536</v>
      </c>
      <c r="D67" s="4" t="s">
        <v>520</v>
      </c>
      <c r="E67" s="4">
        <v>67961</v>
      </c>
      <c r="F67" s="6">
        <f>VLOOKUP(A67,'[1]Turn Out'!$B:$D,3,FALSE)</f>
        <v>0.89370000000000005</v>
      </c>
      <c r="G67" s="4" t="s">
        <v>8</v>
      </c>
      <c r="H67" s="4" t="s">
        <v>44</v>
      </c>
    </row>
    <row r="68" spans="1:8" x14ac:dyDescent="0.3">
      <c r="A68" s="4" t="s">
        <v>78</v>
      </c>
      <c r="B68" s="4">
        <v>67</v>
      </c>
      <c r="C68" s="4" t="s">
        <v>587</v>
      </c>
      <c r="D68" s="4" t="s">
        <v>272</v>
      </c>
      <c r="E68" s="4">
        <v>76735</v>
      </c>
      <c r="F68" s="6">
        <f>VLOOKUP(A68,'[1]Turn Out'!$B:$D,3,FALSE)</f>
        <v>0.8931</v>
      </c>
      <c r="G68" s="4" t="s">
        <v>8</v>
      </c>
      <c r="H68" s="4" t="s">
        <v>44</v>
      </c>
    </row>
    <row r="69" spans="1:8" x14ac:dyDescent="0.3">
      <c r="A69" s="4" t="s">
        <v>79</v>
      </c>
      <c r="B69" s="4">
        <v>68</v>
      </c>
      <c r="C69" s="4" t="s">
        <v>588</v>
      </c>
      <c r="D69" s="4" t="s">
        <v>272</v>
      </c>
      <c r="E69" s="4">
        <v>86680</v>
      </c>
      <c r="F69" s="6">
        <f>VLOOKUP(A69,'[1]Turn Out'!$B:$D,3,FALSE)</f>
        <v>0.91969999999999996</v>
      </c>
      <c r="G69" s="4" t="s">
        <v>8</v>
      </c>
      <c r="H69" s="4" t="s">
        <v>44</v>
      </c>
    </row>
    <row r="70" spans="1:8" x14ac:dyDescent="0.3">
      <c r="A70" s="4" t="s">
        <v>80</v>
      </c>
      <c r="B70" s="4">
        <v>69</v>
      </c>
      <c r="C70" s="4" t="s">
        <v>589</v>
      </c>
      <c r="D70" s="4" t="s">
        <v>267</v>
      </c>
      <c r="E70" s="4">
        <v>63805</v>
      </c>
      <c r="F70" s="6">
        <f>VLOOKUP(A70,'[1]Turn Out'!$B:$D,3,FALSE)</f>
        <v>0.88619999999999999</v>
      </c>
      <c r="G70" s="4" t="s">
        <v>10</v>
      </c>
      <c r="H70" s="4" t="s">
        <v>44</v>
      </c>
    </row>
    <row r="71" spans="1:8" x14ac:dyDescent="0.3">
      <c r="A71" s="4" t="s">
        <v>81</v>
      </c>
      <c r="B71" s="4">
        <v>70</v>
      </c>
      <c r="C71" s="4" t="s">
        <v>590</v>
      </c>
      <c r="D71" s="4" t="s">
        <v>268</v>
      </c>
      <c r="E71" s="4">
        <v>78201</v>
      </c>
      <c r="F71" s="6">
        <f>VLOOKUP(A71,'[1]Turn Out'!$B:$D,3,FALSE)</f>
        <v>0.8851</v>
      </c>
      <c r="G71" s="4" t="s">
        <v>8</v>
      </c>
      <c r="H71" s="4" t="s">
        <v>83</v>
      </c>
    </row>
    <row r="72" spans="1:8" x14ac:dyDescent="0.3">
      <c r="A72" s="4" t="s">
        <v>84</v>
      </c>
      <c r="B72" s="4">
        <v>71</v>
      </c>
      <c r="C72" s="4" t="s">
        <v>591</v>
      </c>
      <c r="D72" s="4" t="s">
        <v>272</v>
      </c>
      <c r="E72" s="4">
        <v>82353</v>
      </c>
      <c r="F72" s="6">
        <f>VLOOKUP(A72,'[1]Turn Out'!$B:$D,3,FALSE)</f>
        <v>0.89649999999999996</v>
      </c>
      <c r="G72" s="4" t="s">
        <v>8</v>
      </c>
      <c r="H72" s="4" t="s">
        <v>83</v>
      </c>
    </row>
    <row r="73" spans="1:8" x14ac:dyDescent="0.3">
      <c r="A73" s="4" t="s">
        <v>85</v>
      </c>
      <c r="B73" s="4">
        <v>72</v>
      </c>
      <c r="C73" s="4" t="s">
        <v>354</v>
      </c>
      <c r="D73" s="4" t="s">
        <v>311</v>
      </c>
      <c r="E73" s="4">
        <v>63833</v>
      </c>
      <c r="F73" s="6">
        <f>VLOOKUP(A73,'[1]Turn Out'!$B:$D,3,FALSE)</f>
        <v>0.88560000000000005</v>
      </c>
      <c r="G73" s="4" t="s">
        <v>10</v>
      </c>
      <c r="H73" s="4" t="s">
        <v>83</v>
      </c>
    </row>
    <row r="74" spans="1:8" x14ac:dyDescent="0.3">
      <c r="A74" s="4" t="s">
        <v>86</v>
      </c>
      <c r="B74" s="4">
        <v>73</v>
      </c>
      <c r="C74" s="4" t="s">
        <v>592</v>
      </c>
      <c r="D74" s="4" t="s">
        <v>267</v>
      </c>
      <c r="E74" s="4">
        <v>68873</v>
      </c>
      <c r="F74" s="6">
        <f>VLOOKUP(A74,'[1]Turn Out'!$B:$D,3,FALSE)</f>
        <v>0.91080000000000005</v>
      </c>
      <c r="G74" s="4" t="s">
        <v>10</v>
      </c>
      <c r="H74" s="4" t="s">
        <v>83</v>
      </c>
    </row>
    <row r="75" spans="1:8" x14ac:dyDescent="0.3">
      <c r="A75" s="4" t="s">
        <v>82</v>
      </c>
      <c r="B75" s="4">
        <v>74</v>
      </c>
      <c r="C75" s="4" t="s">
        <v>355</v>
      </c>
      <c r="D75" s="4" t="s">
        <v>267</v>
      </c>
      <c r="E75" s="4">
        <v>72982</v>
      </c>
      <c r="F75" s="6">
        <f>VLOOKUP(A75,'[1]Turn Out'!$B:$D,3,FALSE)</f>
        <v>0.86599999999999999</v>
      </c>
      <c r="G75" s="4" t="s">
        <v>8</v>
      </c>
      <c r="H75" s="4" t="s">
        <v>83</v>
      </c>
    </row>
    <row r="76" spans="1:8" x14ac:dyDescent="0.3">
      <c r="A76" s="4" t="s">
        <v>87</v>
      </c>
      <c r="B76" s="4">
        <v>75</v>
      </c>
      <c r="C76" s="4" t="s">
        <v>351</v>
      </c>
      <c r="D76" s="4" t="s">
        <v>268</v>
      </c>
      <c r="E76" s="4">
        <v>69727</v>
      </c>
      <c r="F76" s="6">
        <f>VLOOKUP(A76,'[1]Turn Out'!$B:$D,3,FALSE)</f>
        <v>0.90510000000000002</v>
      </c>
      <c r="G76" s="4" t="s">
        <v>8</v>
      </c>
      <c r="H76" s="4" t="s">
        <v>83</v>
      </c>
    </row>
    <row r="77" spans="1:8" x14ac:dyDescent="0.3">
      <c r="A77" s="4" t="s">
        <v>88</v>
      </c>
      <c r="B77" s="4">
        <v>76</v>
      </c>
      <c r="C77" s="4" t="s">
        <v>593</v>
      </c>
      <c r="D77" s="4" t="s">
        <v>272</v>
      </c>
      <c r="E77" s="4">
        <v>73033</v>
      </c>
      <c r="F77" s="6">
        <f>VLOOKUP(A77,'[1]Turn Out'!$B:$D,3,FALSE)</f>
        <v>0.88460000000000005</v>
      </c>
      <c r="G77" s="4" t="s">
        <v>8</v>
      </c>
      <c r="H77" s="4" t="s">
        <v>83</v>
      </c>
    </row>
    <row r="78" spans="1:8" x14ac:dyDescent="0.3">
      <c r="A78" s="4" t="s">
        <v>89</v>
      </c>
      <c r="B78" s="4">
        <v>77</v>
      </c>
      <c r="C78" s="4" t="s">
        <v>594</v>
      </c>
      <c r="D78" s="4" t="s">
        <v>267</v>
      </c>
      <c r="E78" s="4">
        <v>98471</v>
      </c>
      <c r="F78" s="6" t="e">
        <f>VLOOKUP(A78,'[1]Turn Out'!$B:$D,3,FALSE)</f>
        <v>#N/A</v>
      </c>
      <c r="G78" s="4" t="s">
        <v>8</v>
      </c>
      <c r="H78" s="4" t="s">
        <v>83</v>
      </c>
    </row>
    <row r="79" spans="1:8" x14ac:dyDescent="0.3">
      <c r="A79" s="4" t="s">
        <v>90</v>
      </c>
      <c r="B79" s="4">
        <v>78</v>
      </c>
      <c r="C79" s="4" t="s">
        <v>359</v>
      </c>
      <c r="D79" s="4" t="s">
        <v>267</v>
      </c>
      <c r="E79" s="4">
        <v>89711</v>
      </c>
      <c r="F79" s="6" t="e">
        <f>VLOOKUP(A79,'[1]Turn Out'!$B:$D,3,FALSE)</f>
        <v>#N/A</v>
      </c>
      <c r="G79" s="4" t="s">
        <v>8</v>
      </c>
      <c r="H79" s="4" t="s">
        <v>83</v>
      </c>
    </row>
    <row r="80" spans="1:8" x14ac:dyDescent="0.3">
      <c r="A80" s="4" t="s">
        <v>91</v>
      </c>
      <c r="B80" s="4">
        <v>79</v>
      </c>
      <c r="C80" s="4" t="s">
        <v>595</v>
      </c>
      <c r="D80" s="4" t="s">
        <v>272</v>
      </c>
      <c r="E80" s="4">
        <v>80250</v>
      </c>
      <c r="F80" s="6">
        <f>VLOOKUP(A80,'[1]Turn Out'!$B:$D,3,FALSE)</f>
        <v>0.87580000000000002</v>
      </c>
      <c r="G80" s="4" t="s">
        <v>8</v>
      </c>
      <c r="H80" s="4" t="s">
        <v>83</v>
      </c>
    </row>
    <row r="81" spans="1:8" x14ac:dyDescent="0.3">
      <c r="A81" s="4" t="s">
        <v>92</v>
      </c>
      <c r="B81" s="4">
        <v>80</v>
      </c>
      <c r="C81" s="4" t="s">
        <v>596</v>
      </c>
      <c r="D81" s="4" t="s">
        <v>520</v>
      </c>
      <c r="E81" s="4">
        <v>81132</v>
      </c>
      <c r="F81" s="6">
        <f>VLOOKUP(A81,'[1]Turn Out'!$B:$D,3,FALSE)</f>
        <v>0.87929999999999997</v>
      </c>
      <c r="G81" s="4" t="s">
        <v>10</v>
      </c>
      <c r="H81" s="4" t="s">
        <v>83</v>
      </c>
    </row>
    <row r="82" spans="1:8" x14ac:dyDescent="0.3">
      <c r="A82" s="4" t="s">
        <v>93</v>
      </c>
      <c r="B82" s="4">
        <v>81</v>
      </c>
      <c r="C82" s="4" t="s">
        <v>571</v>
      </c>
      <c r="D82" s="4" t="s">
        <v>272</v>
      </c>
      <c r="E82" s="4">
        <v>73167</v>
      </c>
      <c r="F82" s="6">
        <f>VLOOKUP(A82,'[1]Turn Out'!$B:$D,3,FALSE)</f>
        <v>0.88790000000000002</v>
      </c>
      <c r="G82" s="4" t="s">
        <v>10</v>
      </c>
      <c r="H82" s="4" t="s">
        <v>83</v>
      </c>
    </row>
    <row r="83" spans="1:8" x14ac:dyDescent="0.3">
      <c r="A83" s="4" t="s">
        <v>95</v>
      </c>
      <c r="B83" s="4">
        <v>82</v>
      </c>
      <c r="C83" s="4" t="s">
        <v>597</v>
      </c>
      <c r="D83" s="4" t="s">
        <v>272</v>
      </c>
      <c r="E83" s="4">
        <v>80843</v>
      </c>
      <c r="F83" s="6">
        <f>VLOOKUP(A83,'[1]Turn Out'!$B:$D,3,FALSE)</f>
        <v>0.90239999999999998</v>
      </c>
      <c r="G83" s="4" t="s">
        <v>10</v>
      </c>
      <c r="H83" s="4" t="s">
        <v>83</v>
      </c>
    </row>
    <row r="84" spans="1:8" x14ac:dyDescent="0.3">
      <c r="A84" s="4" t="s">
        <v>96</v>
      </c>
      <c r="B84" s="4">
        <v>83</v>
      </c>
      <c r="C84" s="4" t="s">
        <v>598</v>
      </c>
      <c r="D84" s="4" t="s">
        <v>272</v>
      </c>
      <c r="E84" s="4">
        <v>87772</v>
      </c>
      <c r="F84" s="6">
        <f>VLOOKUP(A84,'[1]Turn Out'!$B:$D,3,FALSE)</f>
        <v>0.92030000000000001</v>
      </c>
      <c r="G84" s="4" t="s">
        <v>97</v>
      </c>
      <c r="H84" s="4" t="s">
        <v>83</v>
      </c>
    </row>
    <row r="85" spans="1:8" x14ac:dyDescent="0.3">
      <c r="A85" s="4" t="s">
        <v>98</v>
      </c>
      <c r="B85" s="4">
        <v>84</v>
      </c>
      <c r="C85" s="4" t="s">
        <v>599</v>
      </c>
      <c r="D85" s="4" t="s">
        <v>272</v>
      </c>
      <c r="E85" s="4">
        <v>112246</v>
      </c>
      <c r="F85" s="6">
        <f>VLOOKUP(A85,'[1]Turn Out'!$B:$D,3,FALSE)</f>
        <v>0.90900000000000003</v>
      </c>
      <c r="G85" s="4" t="s">
        <v>8</v>
      </c>
      <c r="H85" s="4" t="s">
        <v>83</v>
      </c>
    </row>
    <row r="86" spans="1:8" x14ac:dyDescent="0.3">
      <c r="A86" s="4" t="s">
        <v>99</v>
      </c>
      <c r="B86" s="4">
        <v>85</v>
      </c>
      <c r="C86" s="4" t="s">
        <v>600</v>
      </c>
      <c r="D86" s="4" t="s">
        <v>272</v>
      </c>
      <c r="E86" s="4">
        <v>86498</v>
      </c>
      <c r="F86" s="6">
        <f>VLOOKUP(A86,'[1]Turn Out'!$B:$D,3,FALSE)</f>
        <v>0.89219999999999999</v>
      </c>
      <c r="G86" s="4" t="s">
        <v>8</v>
      </c>
      <c r="H86" s="4" t="s">
        <v>83</v>
      </c>
    </row>
    <row r="87" spans="1:8" x14ac:dyDescent="0.3">
      <c r="A87" s="4" t="s">
        <v>100</v>
      </c>
      <c r="B87" s="4">
        <v>86</v>
      </c>
      <c r="C87" s="4" t="s">
        <v>367</v>
      </c>
      <c r="D87" s="4" t="s">
        <v>272</v>
      </c>
      <c r="E87" s="4">
        <v>148933</v>
      </c>
      <c r="F87" s="6" t="e">
        <f>VLOOKUP(A87,'[1]Turn Out'!$B:$D,3,FALSE)</f>
        <v>#N/A</v>
      </c>
      <c r="G87" s="4" t="s">
        <v>8</v>
      </c>
      <c r="H87" s="4" t="s">
        <v>83</v>
      </c>
    </row>
    <row r="88" spans="1:8" x14ac:dyDescent="0.3">
      <c r="A88" s="4" t="s">
        <v>101</v>
      </c>
      <c r="B88" s="4">
        <v>87</v>
      </c>
      <c r="C88" s="4" t="s">
        <v>601</v>
      </c>
      <c r="D88" s="4" t="s">
        <v>272</v>
      </c>
      <c r="E88" s="4">
        <v>87342</v>
      </c>
      <c r="F88" s="6" t="e">
        <f>VLOOKUP(A88,'[1]Turn Out'!$B:$D,3,FALSE)</f>
        <v>#N/A</v>
      </c>
      <c r="G88" s="4" t="s">
        <v>8</v>
      </c>
      <c r="H88" s="4" t="s">
        <v>83</v>
      </c>
    </row>
    <row r="89" spans="1:8" x14ac:dyDescent="0.3">
      <c r="A89" s="4" t="s">
        <v>102</v>
      </c>
      <c r="B89" s="4">
        <v>88</v>
      </c>
      <c r="C89" s="4" t="s">
        <v>602</v>
      </c>
      <c r="D89" s="4" t="s">
        <v>520</v>
      </c>
      <c r="E89" s="4">
        <v>120407</v>
      </c>
      <c r="F89" s="6">
        <f>VLOOKUP(A89,'[1]Turn Out'!$B:$D,3,FALSE)</f>
        <v>0.89990000000000003</v>
      </c>
      <c r="G89" s="4" t="s">
        <v>8</v>
      </c>
      <c r="H89" s="4" t="s">
        <v>83</v>
      </c>
    </row>
    <row r="90" spans="1:8" x14ac:dyDescent="0.3">
      <c r="A90" s="4" t="s">
        <v>103</v>
      </c>
      <c r="B90" s="4">
        <v>89</v>
      </c>
      <c r="C90" s="4" t="s">
        <v>603</v>
      </c>
      <c r="D90" s="4" t="s">
        <v>520</v>
      </c>
      <c r="E90" s="4">
        <v>85710</v>
      </c>
      <c r="F90" s="6">
        <f>VLOOKUP(A90,'[1]Turn Out'!$B:$D,3,FALSE)</f>
        <v>0.874</v>
      </c>
      <c r="G90" s="4" t="s">
        <v>8</v>
      </c>
      <c r="H90" s="4" t="s">
        <v>83</v>
      </c>
    </row>
    <row r="91" spans="1:8" x14ac:dyDescent="0.3">
      <c r="A91" s="4" t="s">
        <v>104</v>
      </c>
      <c r="B91" s="4">
        <v>90</v>
      </c>
      <c r="C91" s="4" t="s">
        <v>604</v>
      </c>
      <c r="D91" s="4" t="s">
        <v>520</v>
      </c>
      <c r="E91" s="4">
        <v>91371</v>
      </c>
      <c r="F91" s="6">
        <f>VLOOKUP(A91,'[1]Turn Out'!$B:$D,3,FALSE)</f>
        <v>0.91010000000000002</v>
      </c>
      <c r="G91" s="4" t="s">
        <v>8</v>
      </c>
      <c r="H91" s="4" t="s">
        <v>83</v>
      </c>
    </row>
    <row r="92" spans="1:8" x14ac:dyDescent="0.3">
      <c r="A92" s="4" t="s">
        <v>105</v>
      </c>
      <c r="B92" s="4">
        <v>91</v>
      </c>
      <c r="C92" s="4" t="s">
        <v>605</v>
      </c>
      <c r="D92" s="4" t="s">
        <v>520</v>
      </c>
      <c r="E92" s="4">
        <v>79907</v>
      </c>
      <c r="F92" s="6">
        <f>VLOOKUP(A92,'[1]Turn Out'!$B:$D,3,FALSE)</f>
        <v>0.93400000000000005</v>
      </c>
      <c r="G92" s="4" t="s">
        <v>8</v>
      </c>
      <c r="H92" s="4" t="s">
        <v>83</v>
      </c>
    </row>
    <row r="93" spans="1:8" x14ac:dyDescent="0.3">
      <c r="A93" s="4" t="s">
        <v>106</v>
      </c>
      <c r="B93" s="4">
        <v>92</v>
      </c>
      <c r="C93" s="4" t="s">
        <v>606</v>
      </c>
      <c r="D93" s="4" t="s">
        <v>520</v>
      </c>
      <c r="E93" s="4">
        <v>74808</v>
      </c>
      <c r="F93" s="6">
        <f>VLOOKUP(A93,'[1]Turn Out'!$B:$D,3,FALSE)</f>
        <v>0.90600000000000003</v>
      </c>
      <c r="G93" s="4" t="s">
        <v>10</v>
      </c>
      <c r="H93" s="4" t="s">
        <v>83</v>
      </c>
    </row>
    <row r="94" spans="1:8" x14ac:dyDescent="0.3">
      <c r="A94" s="4" t="s">
        <v>108</v>
      </c>
      <c r="B94" s="4">
        <v>93</v>
      </c>
      <c r="C94" s="4" t="s">
        <v>607</v>
      </c>
      <c r="D94" s="4" t="s">
        <v>520</v>
      </c>
      <c r="E94" s="4">
        <v>68815</v>
      </c>
      <c r="F94" s="6" t="e">
        <f>VLOOKUP(A94,'[1]Turn Out'!$B:$D,3,FALSE)</f>
        <v>#N/A</v>
      </c>
      <c r="G94" s="4" t="s">
        <v>97</v>
      </c>
      <c r="H94" s="4" t="s">
        <v>83</v>
      </c>
    </row>
    <row r="95" spans="1:8" x14ac:dyDescent="0.3">
      <c r="A95" s="4" t="s">
        <v>107</v>
      </c>
      <c r="B95" s="4">
        <v>94</v>
      </c>
      <c r="C95" s="4" t="s">
        <v>608</v>
      </c>
      <c r="D95" s="4" t="s">
        <v>520</v>
      </c>
      <c r="E95" s="4">
        <v>79744</v>
      </c>
      <c r="F95" s="6">
        <f>VLOOKUP(A95,'[1]Turn Out'!$B:$D,3,FALSE)</f>
        <v>0.87719999999999998</v>
      </c>
      <c r="G95" s="4" t="s">
        <v>8</v>
      </c>
      <c r="H95" s="4" t="s">
        <v>83</v>
      </c>
    </row>
    <row r="96" spans="1:8" x14ac:dyDescent="0.3">
      <c r="A96" s="4" t="s">
        <v>109</v>
      </c>
      <c r="B96" s="4">
        <v>95</v>
      </c>
      <c r="C96" s="4" t="s">
        <v>376</v>
      </c>
      <c r="D96" s="4" t="s">
        <v>272</v>
      </c>
      <c r="E96" s="4">
        <v>61349</v>
      </c>
      <c r="F96" s="6">
        <f>VLOOKUP(A96,'[1]Turn Out'!$B:$D,3,FALSE)</f>
        <v>0.90239999999999998</v>
      </c>
      <c r="G96" s="4" t="s">
        <v>8</v>
      </c>
      <c r="H96" s="4" t="s">
        <v>83</v>
      </c>
    </row>
    <row r="97" spans="1:8" x14ac:dyDescent="0.3">
      <c r="A97" s="4" t="s">
        <v>110</v>
      </c>
      <c r="B97" s="4">
        <v>96</v>
      </c>
      <c r="C97" s="4" t="s">
        <v>609</v>
      </c>
      <c r="D97" s="4" t="s">
        <v>520</v>
      </c>
      <c r="E97" s="4">
        <v>79500</v>
      </c>
      <c r="F97" s="6" t="e">
        <f>VLOOKUP(A97,'[1]Turn Out'!$B:$D,3,FALSE)</f>
        <v>#N/A</v>
      </c>
      <c r="G97" s="4" t="s">
        <v>8</v>
      </c>
      <c r="H97" s="4" t="s">
        <v>83</v>
      </c>
    </row>
    <row r="98" spans="1:8" x14ac:dyDescent="0.3">
      <c r="A98" s="4" t="s">
        <v>111</v>
      </c>
      <c r="B98" s="4">
        <v>97</v>
      </c>
      <c r="C98" s="4" t="s">
        <v>610</v>
      </c>
      <c r="D98" s="4" t="s">
        <v>520</v>
      </c>
      <c r="E98" s="4">
        <v>81179</v>
      </c>
      <c r="F98" s="6">
        <f>VLOOKUP(A98,'[1]Turn Out'!$B:$D,3,FALSE)</f>
        <v>0.92649999999999999</v>
      </c>
      <c r="G98" s="4" t="s">
        <v>8</v>
      </c>
      <c r="H98" s="4" t="s">
        <v>83</v>
      </c>
    </row>
    <row r="99" spans="1:8" x14ac:dyDescent="0.3">
      <c r="A99" s="4" t="s">
        <v>112</v>
      </c>
      <c r="B99" s="4">
        <v>98</v>
      </c>
      <c r="C99" s="4" t="s">
        <v>611</v>
      </c>
      <c r="D99" s="4" t="s">
        <v>520</v>
      </c>
      <c r="E99" s="4">
        <v>69747</v>
      </c>
      <c r="F99" s="6">
        <f>VLOOKUP(A99,'[1]Turn Out'!$B:$D,3,FALSE)</f>
        <v>0.89800000000000002</v>
      </c>
      <c r="G99" s="4" t="s">
        <v>8</v>
      </c>
      <c r="H99" s="4" t="s">
        <v>114</v>
      </c>
    </row>
    <row r="100" spans="1:8" x14ac:dyDescent="0.3">
      <c r="A100" s="4" t="s">
        <v>115</v>
      </c>
      <c r="B100" s="4">
        <v>99</v>
      </c>
      <c r="C100" s="4" t="s">
        <v>612</v>
      </c>
      <c r="D100" s="4" t="s">
        <v>520</v>
      </c>
      <c r="E100" s="4">
        <v>96836</v>
      </c>
      <c r="F100" s="6">
        <f>VLOOKUP(A100,'[1]Turn Out'!$B:$D,3,FALSE)</f>
        <v>0.87949999999999995</v>
      </c>
      <c r="G100" s="4" t="s">
        <v>8</v>
      </c>
      <c r="H100" s="4" t="s">
        <v>114</v>
      </c>
    </row>
    <row r="101" spans="1:8" x14ac:dyDescent="0.3">
      <c r="A101" s="4" t="s">
        <v>116</v>
      </c>
      <c r="B101" s="4">
        <v>100</v>
      </c>
      <c r="C101" s="4" t="s">
        <v>613</v>
      </c>
      <c r="D101" s="4" t="s">
        <v>520</v>
      </c>
      <c r="E101" s="4">
        <v>60715</v>
      </c>
      <c r="F101" s="6" t="e">
        <f>VLOOKUP(A101,'[1]Turn Out'!$B:$D,3,FALSE)</f>
        <v>#N/A</v>
      </c>
      <c r="G101" s="4" t="s">
        <v>8</v>
      </c>
      <c r="H101" s="4" t="s">
        <v>114</v>
      </c>
    </row>
    <row r="102" spans="1:8" x14ac:dyDescent="0.3">
      <c r="A102" s="4" t="s">
        <v>117</v>
      </c>
      <c r="B102" s="4">
        <v>101</v>
      </c>
      <c r="C102" s="4" t="s">
        <v>614</v>
      </c>
      <c r="D102" s="4" t="s">
        <v>272</v>
      </c>
      <c r="E102" s="4">
        <v>81100</v>
      </c>
      <c r="F102" s="6">
        <f>VLOOKUP(A102,'[1]Turn Out'!$B:$D,3,FALSE)</f>
        <v>0.88919999999999999</v>
      </c>
      <c r="G102" s="4" t="s">
        <v>10</v>
      </c>
      <c r="H102" s="4" t="s">
        <v>114</v>
      </c>
    </row>
    <row r="103" spans="1:8" x14ac:dyDescent="0.3">
      <c r="A103" s="4" t="s">
        <v>118</v>
      </c>
      <c r="B103" s="4">
        <v>102</v>
      </c>
      <c r="C103" s="4" t="s">
        <v>615</v>
      </c>
      <c r="D103" s="4" t="s">
        <v>272</v>
      </c>
      <c r="E103" s="4">
        <v>71122</v>
      </c>
      <c r="F103" s="6">
        <f>VLOOKUP(A103,'[1]Turn Out'!$B:$D,3,FALSE)</f>
        <v>0.91559999999999997</v>
      </c>
      <c r="G103" s="4" t="s">
        <v>8</v>
      </c>
      <c r="H103" s="4" t="s">
        <v>114</v>
      </c>
    </row>
    <row r="104" spans="1:8" x14ac:dyDescent="0.3">
      <c r="A104" s="4" t="s">
        <v>119</v>
      </c>
      <c r="B104" s="4">
        <v>103</v>
      </c>
      <c r="C104" s="4" t="s">
        <v>616</v>
      </c>
      <c r="D104" s="4" t="s">
        <v>272</v>
      </c>
      <c r="E104" s="4">
        <v>70302</v>
      </c>
      <c r="F104" s="6">
        <f>VLOOKUP(A104,'[1]Turn Out'!$B:$D,3,FALSE)</f>
        <v>0.92469999999999997</v>
      </c>
      <c r="G104" s="4" t="s">
        <v>8</v>
      </c>
      <c r="H104" s="4" t="s">
        <v>114</v>
      </c>
    </row>
    <row r="105" spans="1:8" x14ac:dyDescent="0.3">
      <c r="A105" s="4" t="s">
        <v>120</v>
      </c>
      <c r="B105" s="4">
        <v>104</v>
      </c>
      <c r="C105" s="4" t="s">
        <v>617</v>
      </c>
      <c r="D105" s="4" t="s">
        <v>272</v>
      </c>
      <c r="E105" s="4">
        <v>75577</v>
      </c>
      <c r="F105" s="6">
        <f>VLOOKUP(A105,'[1]Turn Out'!$B:$D,3,FALSE)</f>
        <v>0.91959999999999997</v>
      </c>
      <c r="G105" s="4" t="s">
        <v>8</v>
      </c>
      <c r="H105" s="4" t="s">
        <v>114</v>
      </c>
    </row>
    <row r="106" spans="1:8" x14ac:dyDescent="0.3">
      <c r="A106" s="4" t="s">
        <v>121</v>
      </c>
      <c r="B106" s="4">
        <v>105</v>
      </c>
      <c r="C106" s="4" t="s">
        <v>618</v>
      </c>
      <c r="D106" s="4" t="s">
        <v>272</v>
      </c>
      <c r="E106" s="4">
        <v>60042</v>
      </c>
      <c r="F106" s="6">
        <f>VLOOKUP(A106,'[1]Turn Out'!$B:$D,3,FALSE)</f>
        <v>0.88149999999999995</v>
      </c>
      <c r="G106" s="4" t="s">
        <v>8</v>
      </c>
      <c r="H106" s="4" t="s">
        <v>114</v>
      </c>
    </row>
    <row r="107" spans="1:8" x14ac:dyDescent="0.3">
      <c r="A107" s="4" t="s">
        <v>122</v>
      </c>
      <c r="B107" s="4">
        <v>106</v>
      </c>
      <c r="C107" s="4" t="s">
        <v>619</v>
      </c>
      <c r="D107" s="4" t="s">
        <v>520</v>
      </c>
      <c r="E107" s="4">
        <v>82612</v>
      </c>
      <c r="F107" s="6">
        <f>VLOOKUP(A107,'[1]Turn Out'!$B:$D,3,FALSE)</f>
        <v>0.90739999999999998</v>
      </c>
      <c r="G107" s="4" t="s">
        <v>8</v>
      </c>
      <c r="H107" s="4" t="s">
        <v>114</v>
      </c>
    </row>
    <row r="108" spans="1:8" x14ac:dyDescent="0.3">
      <c r="A108" s="4" t="s">
        <v>124</v>
      </c>
      <c r="B108" s="4">
        <v>107</v>
      </c>
      <c r="C108" s="4" t="s">
        <v>620</v>
      </c>
      <c r="D108" s="4" t="s">
        <v>520</v>
      </c>
      <c r="E108" s="4">
        <v>72391</v>
      </c>
      <c r="F108" s="6">
        <f>VLOOKUP(A108,'[1]Turn Out'!$B:$D,3,FALSE)</f>
        <v>0.8952</v>
      </c>
      <c r="G108" s="4" t="s">
        <v>10</v>
      </c>
      <c r="H108" s="4" t="s">
        <v>114</v>
      </c>
    </row>
    <row r="109" spans="1:8" x14ac:dyDescent="0.3">
      <c r="A109" s="4" t="s">
        <v>125</v>
      </c>
      <c r="B109" s="4">
        <v>108</v>
      </c>
      <c r="C109" s="4" t="s">
        <v>621</v>
      </c>
      <c r="D109" s="4" t="s">
        <v>293</v>
      </c>
      <c r="E109" s="4">
        <v>48488</v>
      </c>
      <c r="F109" s="6">
        <f>VLOOKUP(A109,'[1]Turn Out'!$B:$D,3,FALSE)</f>
        <v>0.77590000000000003</v>
      </c>
      <c r="G109" s="4" t="s">
        <v>8</v>
      </c>
      <c r="H109" s="4" t="s">
        <v>114</v>
      </c>
    </row>
    <row r="110" spans="1:8" x14ac:dyDescent="0.3">
      <c r="A110" s="4" t="s">
        <v>126</v>
      </c>
      <c r="B110" s="4">
        <v>109</v>
      </c>
      <c r="C110" s="4" t="s">
        <v>622</v>
      </c>
      <c r="D110" s="4" t="s">
        <v>267</v>
      </c>
      <c r="E110" s="4">
        <v>65590</v>
      </c>
      <c r="F110" s="6">
        <f>VLOOKUP(A110,'[1]Turn Out'!$B:$D,3,FALSE)</f>
        <v>0.80800000000000005</v>
      </c>
      <c r="G110" s="4" t="s">
        <v>10</v>
      </c>
      <c r="H110" s="4" t="s">
        <v>114</v>
      </c>
    </row>
    <row r="111" spans="1:8" x14ac:dyDescent="0.3">
      <c r="A111" s="4" t="s">
        <v>127</v>
      </c>
      <c r="B111" s="4">
        <v>110</v>
      </c>
      <c r="C111" s="4" t="s">
        <v>623</v>
      </c>
      <c r="D111" s="4" t="s">
        <v>267</v>
      </c>
      <c r="E111" s="4">
        <v>50470</v>
      </c>
      <c r="F111" s="6">
        <f>VLOOKUP(A111,'[1]Turn Out'!$B:$D,3,FALSE)</f>
        <v>0.78380000000000005</v>
      </c>
      <c r="G111" s="4" t="s">
        <v>8</v>
      </c>
      <c r="H111" s="4" t="s">
        <v>114</v>
      </c>
    </row>
    <row r="112" spans="1:8" x14ac:dyDescent="0.3">
      <c r="A112" s="4" t="s">
        <v>128</v>
      </c>
      <c r="B112" s="4">
        <v>111</v>
      </c>
      <c r="C112" s="4" t="s">
        <v>624</v>
      </c>
      <c r="D112" s="4" t="s">
        <v>520</v>
      </c>
      <c r="E112" s="4">
        <v>75664</v>
      </c>
      <c r="F112" s="6">
        <f>VLOOKUP(A112,'[1]Turn Out'!$B:$D,3,FALSE)</f>
        <v>0.85960000000000003</v>
      </c>
      <c r="G112" s="4" t="s">
        <v>8</v>
      </c>
      <c r="H112" s="4" t="s">
        <v>114</v>
      </c>
    </row>
    <row r="113" spans="1:8" x14ac:dyDescent="0.3">
      <c r="A113" s="4" t="s">
        <v>129</v>
      </c>
      <c r="B113" s="4">
        <v>112</v>
      </c>
      <c r="C113" s="4" t="s">
        <v>291</v>
      </c>
      <c r="D113" s="4" t="s">
        <v>520</v>
      </c>
      <c r="E113" s="4">
        <v>84209</v>
      </c>
      <c r="F113" s="6">
        <f>VLOOKUP(A113,'[1]Turn Out'!$B:$D,3,FALSE)</f>
        <v>0.90569999999999995</v>
      </c>
      <c r="G113" s="4" t="s">
        <v>10</v>
      </c>
      <c r="H113" s="4" t="s">
        <v>114</v>
      </c>
    </row>
    <row r="114" spans="1:8" x14ac:dyDescent="0.3">
      <c r="A114" s="4" t="s">
        <v>130</v>
      </c>
      <c r="B114" s="4">
        <v>113</v>
      </c>
      <c r="C114" s="4" t="s">
        <v>625</v>
      </c>
      <c r="D114" s="4" t="s">
        <v>520</v>
      </c>
      <c r="E114" s="4">
        <v>131401</v>
      </c>
      <c r="F114" s="6">
        <f>VLOOKUP(A114,'[1]Turn Out'!$B:$D,3,FALSE)</f>
        <v>0.83140000000000003</v>
      </c>
      <c r="G114" s="4" t="s">
        <v>8</v>
      </c>
      <c r="H114" s="4" t="s">
        <v>114</v>
      </c>
    </row>
    <row r="115" spans="1:8" x14ac:dyDescent="0.3">
      <c r="A115" s="4" t="s">
        <v>131</v>
      </c>
      <c r="B115" s="4">
        <v>114</v>
      </c>
      <c r="C115" s="4" t="s">
        <v>626</v>
      </c>
      <c r="D115" s="4" t="s">
        <v>520</v>
      </c>
      <c r="E115" s="4">
        <v>73793</v>
      </c>
      <c r="F115" s="6">
        <f>VLOOKUP(A115,'[1]Turn Out'!$B:$D,3,FALSE)</f>
        <v>0.90710000000000002</v>
      </c>
      <c r="G115" s="4" t="s">
        <v>8</v>
      </c>
      <c r="H115" s="4" t="s">
        <v>114</v>
      </c>
    </row>
    <row r="116" spans="1:8" x14ac:dyDescent="0.3">
      <c r="A116" s="4" t="s">
        <v>133</v>
      </c>
      <c r="B116" s="4">
        <v>115</v>
      </c>
      <c r="C116" s="4" t="s">
        <v>627</v>
      </c>
      <c r="D116" s="4" t="s">
        <v>520</v>
      </c>
      <c r="E116" s="4">
        <v>121297</v>
      </c>
      <c r="F116" s="6">
        <f>VLOOKUP(A116,'[1]Turn Out'!$B:$D,3,FALSE)</f>
        <v>0.9073</v>
      </c>
      <c r="G116" s="4" t="s">
        <v>8</v>
      </c>
      <c r="H116" s="4" t="s">
        <v>114</v>
      </c>
    </row>
    <row r="117" spans="1:8" x14ac:dyDescent="0.3">
      <c r="A117" s="4" t="s">
        <v>134</v>
      </c>
      <c r="B117" s="4">
        <v>116</v>
      </c>
      <c r="C117" s="4" t="s">
        <v>628</v>
      </c>
      <c r="D117" s="4" t="s">
        <v>520</v>
      </c>
      <c r="E117" s="4">
        <v>90531</v>
      </c>
      <c r="F117" s="6">
        <f>VLOOKUP(A117,'[1]Turn Out'!$B:$D,3,FALSE)</f>
        <v>0.8831</v>
      </c>
      <c r="G117" s="4" t="s">
        <v>8</v>
      </c>
      <c r="H117" s="4" t="s">
        <v>114</v>
      </c>
    </row>
    <row r="118" spans="1:8" x14ac:dyDescent="0.3">
      <c r="A118" s="4" t="s">
        <v>135</v>
      </c>
      <c r="B118" s="4">
        <v>117</v>
      </c>
      <c r="C118" s="4" t="s">
        <v>629</v>
      </c>
      <c r="D118" s="4" t="s">
        <v>520</v>
      </c>
      <c r="E118" s="4">
        <v>146466</v>
      </c>
      <c r="F118" s="6">
        <f>VLOOKUP(A118,'[1]Turn Out'!$B:$D,3,FALSE)</f>
        <v>0.85499999999999998</v>
      </c>
      <c r="G118" s="4" t="s">
        <v>8</v>
      </c>
      <c r="H118" s="4" t="s">
        <v>114</v>
      </c>
    </row>
    <row r="119" spans="1:8" x14ac:dyDescent="0.3">
      <c r="A119" s="4" t="s">
        <v>137</v>
      </c>
      <c r="B119" s="4">
        <v>118</v>
      </c>
      <c r="C119" s="4" t="s">
        <v>630</v>
      </c>
      <c r="D119" s="4" t="s">
        <v>520</v>
      </c>
      <c r="E119" s="4">
        <v>92500</v>
      </c>
      <c r="F119" s="6" t="e">
        <f>VLOOKUP(A119,'[1]Turn Out'!$B:$D,3,FALSE)</f>
        <v>#N/A</v>
      </c>
      <c r="G119" s="4" t="s">
        <v>8</v>
      </c>
      <c r="H119" s="4" t="s">
        <v>114</v>
      </c>
    </row>
    <row r="120" spans="1:8" x14ac:dyDescent="0.3">
      <c r="A120" s="4" t="s">
        <v>138</v>
      </c>
      <c r="B120" s="4">
        <v>119</v>
      </c>
      <c r="C120" s="4" t="s">
        <v>631</v>
      </c>
      <c r="D120" s="4" t="s">
        <v>272</v>
      </c>
      <c r="E120" s="4">
        <v>93316</v>
      </c>
      <c r="F120" s="6">
        <f>VLOOKUP(A120,'[1]Turn Out'!$B:$D,3,FALSE)</f>
        <v>0.875</v>
      </c>
      <c r="G120" s="4" t="s">
        <v>8</v>
      </c>
      <c r="H120" s="4" t="s">
        <v>114</v>
      </c>
    </row>
    <row r="121" spans="1:8" x14ac:dyDescent="0.3">
      <c r="A121" s="4" t="s">
        <v>139</v>
      </c>
      <c r="B121" s="4">
        <v>120</v>
      </c>
      <c r="C121" s="4" t="s">
        <v>632</v>
      </c>
      <c r="D121" s="4" t="s">
        <v>267</v>
      </c>
      <c r="E121" s="4">
        <v>59724</v>
      </c>
      <c r="F121" s="6" t="e">
        <f>VLOOKUP(A121,'[1]Turn Out'!$B:$D,3,FALSE)</f>
        <v>#N/A</v>
      </c>
      <c r="G121" s="4" t="s">
        <v>8</v>
      </c>
      <c r="H121" s="4" t="s">
        <v>114</v>
      </c>
    </row>
    <row r="122" spans="1:8" x14ac:dyDescent="0.3">
      <c r="A122" s="4" t="s">
        <v>140</v>
      </c>
      <c r="B122" s="4">
        <v>121</v>
      </c>
      <c r="C122" s="4" t="s">
        <v>633</v>
      </c>
      <c r="D122" s="4" t="s">
        <v>520</v>
      </c>
      <c r="E122" s="4">
        <v>84163</v>
      </c>
      <c r="F122" s="6">
        <f>VLOOKUP(A122,'[1]Turn Out'!$B:$D,3,FALSE)</f>
        <v>0.81200000000000006</v>
      </c>
      <c r="G122" s="4" t="s">
        <v>8</v>
      </c>
      <c r="H122" s="4" t="s">
        <v>114</v>
      </c>
    </row>
    <row r="123" spans="1:8" x14ac:dyDescent="0.3">
      <c r="A123" s="4" t="s">
        <v>141</v>
      </c>
      <c r="B123" s="4">
        <v>122</v>
      </c>
      <c r="C123" s="4" t="s">
        <v>634</v>
      </c>
      <c r="D123" s="4" t="s">
        <v>520</v>
      </c>
      <c r="E123" s="4">
        <v>99950</v>
      </c>
      <c r="F123" s="6">
        <f>VLOOKUP(A123,'[1]Turn Out'!$B:$D,3,FALSE)</f>
        <v>0.87109999999999999</v>
      </c>
      <c r="G123" s="4" t="s">
        <v>8</v>
      </c>
      <c r="H123" s="4" t="s">
        <v>114</v>
      </c>
    </row>
    <row r="124" spans="1:8" x14ac:dyDescent="0.3">
      <c r="A124" s="4" t="s">
        <v>142</v>
      </c>
      <c r="B124" s="4">
        <v>123</v>
      </c>
      <c r="C124" s="4" t="s">
        <v>635</v>
      </c>
      <c r="D124" s="4" t="s">
        <v>267</v>
      </c>
      <c r="E124" s="4">
        <v>62013</v>
      </c>
      <c r="F124" s="6">
        <f>VLOOKUP(A124,'[1]Turn Out'!$B:$D,3,FALSE)</f>
        <v>0.88090000000000002</v>
      </c>
      <c r="G124" s="4" t="s">
        <v>8</v>
      </c>
      <c r="H124" s="4" t="s">
        <v>114</v>
      </c>
    </row>
    <row r="125" spans="1:8" x14ac:dyDescent="0.3">
      <c r="A125" s="4" t="s">
        <v>143</v>
      </c>
      <c r="B125" s="4">
        <v>124</v>
      </c>
      <c r="C125" s="4" t="s">
        <v>636</v>
      </c>
      <c r="D125" s="4" t="s">
        <v>267</v>
      </c>
      <c r="E125" s="4">
        <v>54671</v>
      </c>
      <c r="F125" s="6">
        <f>VLOOKUP(A125,'[1]Turn Out'!$B:$D,3,FALSE)</f>
        <v>0.85950000000000004</v>
      </c>
      <c r="G125" s="4" t="s">
        <v>10</v>
      </c>
      <c r="H125" s="4" t="s">
        <v>114</v>
      </c>
    </row>
    <row r="126" spans="1:8" x14ac:dyDescent="0.3">
      <c r="A126" s="4" t="s">
        <v>144</v>
      </c>
      <c r="B126" s="4">
        <v>125</v>
      </c>
      <c r="C126" s="4" t="s">
        <v>637</v>
      </c>
      <c r="D126" s="4" t="s">
        <v>267</v>
      </c>
      <c r="E126" s="4">
        <v>68549</v>
      </c>
      <c r="F126" s="6" t="e">
        <f>VLOOKUP(A126,'[1]Turn Out'!$B:$D,3,FALSE)</f>
        <v>#N/A</v>
      </c>
      <c r="G126" s="4" t="s">
        <v>8</v>
      </c>
      <c r="H126" s="4" t="s">
        <v>114</v>
      </c>
    </row>
    <row r="127" spans="1:8" x14ac:dyDescent="0.3">
      <c r="A127" s="4" t="s">
        <v>145</v>
      </c>
      <c r="B127" s="4">
        <v>126</v>
      </c>
      <c r="C127" s="4" t="s">
        <v>638</v>
      </c>
      <c r="D127" s="4" t="s">
        <v>267</v>
      </c>
      <c r="E127" s="4">
        <v>70458</v>
      </c>
      <c r="F127" s="6">
        <f>VLOOKUP(A127,'[1]Turn Out'!$B:$D,3,FALSE)</f>
        <v>0.86899999999999999</v>
      </c>
      <c r="G127" s="4" t="s">
        <v>8</v>
      </c>
      <c r="H127" s="4" t="s">
        <v>114</v>
      </c>
    </row>
    <row r="128" spans="1:8" x14ac:dyDescent="0.3">
      <c r="A128" s="4" t="s">
        <v>146</v>
      </c>
      <c r="B128" s="4">
        <v>127</v>
      </c>
      <c r="C128" s="4" t="s">
        <v>639</v>
      </c>
      <c r="D128" s="4" t="s">
        <v>272</v>
      </c>
      <c r="E128" s="4">
        <v>66986</v>
      </c>
      <c r="F128" s="6">
        <f>VLOOKUP(A128,'[1]Turn Out'!$B:$D,3,FALSE)</f>
        <v>0.86240000000000006</v>
      </c>
      <c r="G128" s="4" t="s">
        <v>8</v>
      </c>
      <c r="H128" s="4" t="s">
        <v>148</v>
      </c>
    </row>
    <row r="129" spans="1:8" x14ac:dyDescent="0.3">
      <c r="A129" s="4" t="s">
        <v>149</v>
      </c>
      <c r="B129" s="4">
        <v>128</v>
      </c>
      <c r="C129" s="4" t="s">
        <v>640</v>
      </c>
      <c r="D129" s="4" t="s">
        <v>267</v>
      </c>
      <c r="E129" s="4">
        <v>93099</v>
      </c>
      <c r="F129" s="6">
        <f>VLOOKUP(A129,'[1]Turn Out'!$B:$D,3,FALSE)</f>
        <v>0.9073</v>
      </c>
      <c r="G129" s="4" t="s">
        <v>8</v>
      </c>
      <c r="H129" s="4" t="s">
        <v>148</v>
      </c>
    </row>
    <row r="130" spans="1:8" x14ac:dyDescent="0.3">
      <c r="A130" s="4" t="s">
        <v>150</v>
      </c>
      <c r="B130" s="4">
        <v>129</v>
      </c>
      <c r="C130" s="4" t="s">
        <v>641</v>
      </c>
      <c r="D130" s="4" t="s">
        <v>267</v>
      </c>
      <c r="E130" s="4">
        <v>106240</v>
      </c>
      <c r="F130" s="6">
        <f>VLOOKUP(A130,'[1]Turn Out'!$B:$D,3,FALSE)</f>
        <v>0.89490000000000003</v>
      </c>
      <c r="G130" s="4" t="s">
        <v>8</v>
      </c>
      <c r="H130" s="4" t="s">
        <v>148</v>
      </c>
    </row>
    <row r="131" spans="1:8" x14ac:dyDescent="0.3">
      <c r="A131" s="4" t="s">
        <v>151</v>
      </c>
      <c r="B131" s="4">
        <v>130</v>
      </c>
      <c r="C131" s="4" t="s">
        <v>642</v>
      </c>
      <c r="D131" s="4" t="s">
        <v>520</v>
      </c>
      <c r="E131" s="4">
        <v>68580</v>
      </c>
      <c r="F131" s="6">
        <f>VLOOKUP(A131,'[1]Turn Out'!$B:$D,3,FALSE)</f>
        <v>0.88570000000000004</v>
      </c>
      <c r="G131" s="4" t="s">
        <v>10</v>
      </c>
      <c r="H131" s="4" t="s">
        <v>148</v>
      </c>
    </row>
    <row r="132" spans="1:8" x14ac:dyDescent="0.3">
      <c r="A132" s="4" t="s">
        <v>152</v>
      </c>
      <c r="B132" s="4">
        <v>131</v>
      </c>
      <c r="C132" s="4" t="s">
        <v>643</v>
      </c>
      <c r="D132" s="4" t="s">
        <v>272</v>
      </c>
      <c r="E132" s="4">
        <v>85708</v>
      </c>
      <c r="F132" s="6">
        <f>VLOOKUP(A132,'[1]Turn Out'!$B:$D,3,FALSE)</f>
        <v>0.9113</v>
      </c>
      <c r="G132" s="4" t="s">
        <v>8</v>
      </c>
      <c r="H132" s="4" t="s">
        <v>148</v>
      </c>
    </row>
    <row r="133" spans="1:8" x14ac:dyDescent="0.3">
      <c r="A133" s="4" t="s">
        <v>147</v>
      </c>
      <c r="B133" s="4">
        <v>132</v>
      </c>
      <c r="C133" s="4" t="s">
        <v>644</v>
      </c>
      <c r="D133" s="4" t="s">
        <v>267</v>
      </c>
      <c r="E133" s="4">
        <v>74489</v>
      </c>
      <c r="F133" s="6">
        <f>VLOOKUP(A133,'[1]Turn Out'!$B:$D,3,FALSE)</f>
        <v>0.86339999999999995</v>
      </c>
      <c r="G133" s="4" t="s">
        <v>8</v>
      </c>
      <c r="H133" s="4" t="s">
        <v>148</v>
      </c>
    </row>
    <row r="134" spans="1:8" x14ac:dyDescent="0.3">
      <c r="A134" s="4" t="s">
        <v>153</v>
      </c>
      <c r="B134" s="4">
        <v>133</v>
      </c>
      <c r="C134" s="4" t="s">
        <v>645</v>
      </c>
      <c r="D134" s="4" t="s">
        <v>267</v>
      </c>
      <c r="E134" s="4">
        <v>84948</v>
      </c>
      <c r="F134" s="6">
        <f>VLOOKUP(A134,'[1]Turn Out'!$B:$D,3,FALSE)</f>
        <v>0.9214</v>
      </c>
      <c r="G134" s="4" t="s">
        <v>8</v>
      </c>
      <c r="H134" s="4" t="s">
        <v>148</v>
      </c>
    </row>
    <row r="135" spans="1:8" x14ac:dyDescent="0.3">
      <c r="A135" s="4" t="s">
        <v>154</v>
      </c>
      <c r="B135" s="4">
        <v>134</v>
      </c>
      <c r="C135" s="4" t="s">
        <v>417</v>
      </c>
      <c r="D135" s="4" t="s">
        <v>267</v>
      </c>
      <c r="E135" s="4">
        <v>70827</v>
      </c>
      <c r="F135" s="6">
        <f>VLOOKUP(A135,'[1]Turn Out'!$B:$D,3,FALSE)</f>
        <v>0.91749999999999998</v>
      </c>
      <c r="G135" s="4" t="s">
        <v>8</v>
      </c>
      <c r="H135" s="4" t="s">
        <v>114</v>
      </c>
    </row>
    <row r="136" spans="1:8" x14ac:dyDescent="0.3">
      <c r="A136" s="4" t="s">
        <v>155</v>
      </c>
      <c r="B136" s="4">
        <v>135</v>
      </c>
      <c r="C136" s="4" t="s">
        <v>646</v>
      </c>
      <c r="D136" s="4" t="s">
        <v>272</v>
      </c>
      <c r="E136" s="4">
        <v>71542</v>
      </c>
      <c r="F136" s="6">
        <f>VLOOKUP(A136,'[1]Turn Out'!$B:$D,3,FALSE)</f>
        <v>0.93400000000000005</v>
      </c>
      <c r="G136" s="4" t="s">
        <v>8</v>
      </c>
      <c r="H136" s="4" t="s">
        <v>114</v>
      </c>
    </row>
    <row r="137" spans="1:8" x14ac:dyDescent="0.3">
      <c r="A137" s="4" t="s">
        <v>156</v>
      </c>
      <c r="B137" s="4">
        <v>136</v>
      </c>
      <c r="C137" s="4" t="s">
        <v>647</v>
      </c>
      <c r="D137" s="4" t="s">
        <v>520</v>
      </c>
      <c r="E137" s="4">
        <v>62378</v>
      </c>
      <c r="F137" s="6">
        <f>VLOOKUP(A137,'[1]Turn Out'!$B:$D,3,FALSE)</f>
        <v>0.92449999999999999</v>
      </c>
      <c r="G137" s="4" t="s">
        <v>10</v>
      </c>
      <c r="H137" s="4" t="s">
        <v>114</v>
      </c>
    </row>
    <row r="138" spans="1:8" x14ac:dyDescent="0.3">
      <c r="A138" s="4" t="s">
        <v>157</v>
      </c>
      <c r="B138" s="4">
        <v>137</v>
      </c>
      <c r="C138" s="4" t="s">
        <v>648</v>
      </c>
      <c r="D138" s="4" t="s">
        <v>267</v>
      </c>
      <c r="E138" s="4">
        <v>68138</v>
      </c>
      <c r="F138" s="6">
        <f>VLOOKUP(A138,'[1]Turn Out'!$B:$D,3,FALSE)</f>
        <v>0.92789999999999995</v>
      </c>
      <c r="G138" s="4" t="s">
        <v>8</v>
      </c>
      <c r="H138" s="4" t="s">
        <v>114</v>
      </c>
    </row>
    <row r="139" spans="1:8" x14ac:dyDescent="0.3">
      <c r="A139" s="4" t="s">
        <v>158</v>
      </c>
      <c r="B139" s="4">
        <v>138</v>
      </c>
      <c r="C139" s="4" t="s">
        <v>649</v>
      </c>
      <c r="D139" s="4" t="s">
        <v>520</v>
      </c>
      <c r="E139" s="4">
        <v>83041</v>
      </c>
      <c r="F139" s="6" t="e">
        <f>VLOOKUP(A139,'[1]Turn Out'!$B:$D,3,FALSE)</f>
        <v>#N/A</v>
      </c>
      <c r="G139" s="4" t="s">
        <v>8</v>
      </c>
      <c r="H139" s="4" t="s">
        <v>160</v>
      </c>
    </row>
    <row r="140" spans="1:8" x14ac:dyDescent="0.3">
      <c r="A140" s="4" t="s">
        <v>161</v>
      </c>
      <c r="B140" s="4">
        <v>139</v>
      </c>
      <c r="C140" s="4" t="s">
        <v>281</v>
      </c>
      <c r="D140" s="4" t="s">
        <v>520</v>
      </c>
      <c r="E140" s="4">
        <v>103235</v>
      </c>
      <c r="F140" s="6">
        <f>VLOOKUP(A140,'[1]Turn Out'!$B:$D,3,FALSE)</f>
        <v>0.87890000000000001</v>
      </c>
      <c r="G140" s="4" t="s">
        <v>8</v>
      </c>
      <c r="H140" s="4" t="s">
        <v>160</v>
      </c>
    </row>
    <row r="141" spans="1:8" x14ac:dyDescent="0.3">
      <c r="A141" s="4" t="s">
        <v>162</v>
      </c>
      <c r="B141" s="4">
        <v>140</v>
      </c>
      <c r="C141" s="4" t="s">
        <v>650</v>
      </c>
      <c r="D141" s="4" t="s">
        <v>267</v>
      </c>
      <c r="E141" s="4">
        <v>88235</v>
      </c>
      <c r="F141" s="6" t="e">
        <f>VLOOKUP(A141,'[1]Turn Out'!$B:$D,3,FALSE)</f>
        <v>#N/A</v>
      </c>
      <c r="G141" s="4" t="s">
        <v>8</v>
      </c>
      <c r="H141" s="4" t="s">
        <v>160</v>
      </c>
    </row>
    <row r="142" spans="1:8" x14ac:dyDescent="0.3">
      <c r="A142" s="4" t="s">
        <v>163</v>
      </c>
      <c r="B142" s="4">
        <v>141</v>
      </c>
      <c r="C142" s="4" t="s">
        <v>531</v>
      </c>
      <c r="D142" s="4" t="s">
        <v>520</v>
      </c>
      <c r="E142" s="4">
        <v>91381</v>
      </c>
      <c r="F142" s="6" t="e">
        <f>VLOOKUP(A142,'[1]Turn Out'!$B:$D,3,FALSE)</f>
        <v>#N/A</v>
      </c>
      <c r="G142" s="4" t="s">
        <v>8</v>
      </c>
      <c r="H142" s="4" t="s">
        <v>160</v>
      </c>
    </row>
    <row r="143" spans="1:8" x14ac:dyDescent="0.3">
      <c r="A143" s="4" t="s">
        <v>164</v>
      </c>
      <c r="B143" s="4">
        <v>142</v>
      </c>
      <c r="C143" s="4" t="s">
        <v>651</v>
      </c>
      <c r="D143" s="4" t="s">
        <v>520</v>
      </c>
      <c r="E143" s="4">
        <v>89837</v>
      </c>
      <c r="F143" s="6" t="e">
        <f>VLOOKUP(A143,'[1]Turn Out'!$B:$D,3,FALSE)</f>
        <v>#N/A</v>
      </c>
      <c r="G143" s="4" t="s">
        <v>8</v>
      </c>
      <c r="H143" s="4" t="s">
        <v>160</v>
      </c>
    </row>
    <row r="144" spans="1:8" x14ac:dyDescent="0.3">
      <c r="A144" s="4" t="s">
        <v>165</v>
      </c>
      <c r="B144" s="4">
        <v>143</v>
      </c>
      <c r="C144" s="4" t="s">
        <v>652</v>
      </c>
      <c r="D144" s="4" t="s">
        <v>272</v>
      </c>
      <c r="E144" s="4">
        <v>60795</v>
      </c>
      <c r="F144" s="6">
        <f>VLOOKUP(A144,'[1]Turn Out'!$B:$D,3,FALSE)</f>
        <v>0.86509999999999998</v>
      </c>
      <c r="G144" s="4" t="s">
        <v>8</v>
      </c>
      <c r="H144" s="4" t="s">
        <v>160</v>
      </c>
    </row>
    <row r="145" spans="1:8" x14ac:dyDescent="0.3">
      <c r="A145" s="4" t="s">
        <v>166</v>
      </c>
      <c r="B145" s="4">
        <v>144</v>
      </c>
      <c r="C145" s="4" t="s">
        <v>653</v>
      </c>
      <c r="D145" s="4" t="s">
        <v>267</v>
      </c>
      <c r="E145" s="4">
        <v>81447</v>
      </c>
      <c r="F145" s="6">
        <f>VLOOKUP(A145,'[1]Turn Out'!$B:$D,3,FALSE)</f>
        <v>0.87639999999999996</v>
      </c>
      <c r="G145" s="4" t="s">
        <v>8</v>
      </c>
      <c r="H145" s="4" t="s">
        <v>160</v>
      </c>
    </row>
    <row r="146" spans="1:8" x14ac:dyDescent="0.3">
      <c r="A146" s="4" t="s">
        <v>167</v>
      </c>
      <c r="B146" s="4">
        <v>145</v>
      </c>
      <c r="C146" s="4" t="s">
        <v>302</v>
      </c>
      <c r="D146" s="4" t="s">
        <v>520</v>
      </c>
      <c r="E146" s="4">
        <v>71281</v>
      </c>
      <c r="F146" s="6">
        <f>VLOOKUP(A146,'[1]Turn Out'!$B:$D,3,FALSE)</f>
        <v>0.86819999999999997</v>
      </c>
      <c r="G146" s="4" t="s">
        <v>8</v>
      </c>
      <c r="H146" s="4" t="s">
        <v>160</v>
      </c>
    </row>
    <row r="147" spans="1:8" x14ac:dyDescent="0.3">
      <c r="A147" s="4" t="s">
        <v>168</v>
      </c>
      <c r="B147" s="4">
        <v>146</v>
      </c>
      <c r="C147" s="4" t="s">
        <v>654</v>
      </c>
      <c r="D147" s="4" t="s">
        <v>520</v>
      </c>
      <c r="E147" s="4">
        <v>66263</v>
      </c>
      <c r="F147" s="6">
        <f>VLOOKUP(A147,'[1]Turn Out'!$B:$D,3,FALSE)</f>
        <v>0.86519999999999997</v>
      </c>
      <c r="G147" s="4" t="s">
        <v>10</v>
      </c>
      <c r="H147" s="4" t="s">
        <v>160</v>
      </c>
    </row>
    <row r="148" spans="1:8" x14ac:dyDescent="0.3">
      <c r="A148" s="4" t="s">
        <v>169</v>
      </c>
      <c r="B148" s="4">
        <v>147</v>
      </c>
      <c r="C148" s="4" t="s">
        <v>603</v>
      </c>
      <c r="D148" s="4" t="s">
        <v>520</v>
      </c>
      <c r="E148" s="4">
        <v>90882</v>
      </c>
      <c r="F148" s="6">
        <f>VLOOKUP(A148,'[1]Turn Out'!$B:$D,3,FALSE)</f>
        <v>0.85919999999999996</v>
      </c>
      <c r="G148" s="4" t="s">
        <v>10</v>
      </c>
      <c r="H148" s="4" t="s">
        <v>83</v>
      </c>
    </row>
    <row r="149" spans="1:8" x14ac:dyDescent="0.3">
      <c r="A149" s="4" t="s">
        <v>170</v>
      </c>
      <c r="B149" s="4">
        <v>148</v>
      </c>
      <c r="C149" s="4" t="s">
        <v>655</v>
      </c>
      <c r="D149" s="4" t="s">
        <v>267</v>
      </c>
      <c r="E149" s="4">
        <v>87237</v>
      </c>
      <c r="F149" s="6">
        <f>VLOOKUP(A149,'[1]Turn Out'!$B:$D,3,FALSE)</f>
        <v>0.85040000000000004</v>
      </c>
      <c r="G149" s="4" t="s">
        <v>8</v>
      </c>
      <c r="H149" s="4" t="s">
        <v>83</v>
      </c>
    </row>
    <row r="150" spans="1:8" x14ac:dyDescent="0.3">
      <c r="A150" s="4" t="s">
        <v>171</v>
      </c>
      <c r="B150" s="4">
        <v>149</v>
      </c>
      <c r="C150" s="4" t="s">
        <v>433</v>
      </c>
      <c r="D150" s="4" t="s">
        <v>272</v>
      </c>
      <c r="E150" s="4">
        <v>95219</v>
      </c>
      <c r="F150" s="6">
        <f>VLOOKUP(A150,'[1]Turn Out'!$B:$D,3,FALSE)</f>
        <v>0.88970000000000005</v>
      </c>
      <c r="G150" s="4" t="s">
        <v>8</v>
      </c>
      <c r="H150" s="4" t="s">
        <v>83</v>
      </c>
    </row>
    <row r="151" spans="1:8" x14ac:dyDescent="0.3">
      <c r="A151" s="4" t="s">
        <v>172</v>
      </c>
      <c r="B151" s="4">
        <v>150</v>
      </c>
      <c r="C151" s="4" t="s">
        <v>656</v>
      </c>
      <c r="D151" s="4" t="s">
        <v>268</v>
      </c>
      <c r="E151" s="4">
        <v>88992</v>
      </c>
      <c r="F151" s="6">
        <f>VLOOKUP(A151,'[1]Turn Out'!$B:$D,3,FALSE)</f>
        <v>0.85850000000000004</v>
      </c>
      <c r="G151" s="4" t="s">
        <v>8</v>
      </c>
      <c r="H151" s="4" t="s">
        <v>83</v>
      </c>
    </row>
    <row r="152" spans="1:8" x14ac:dyDescent="0.3">
      <c r="A152" s="4" t="s">
        <v>173</v>
      </c>
      <c r="B152" s="4">
        <v>151</v>
      </c>
      <c r="C152" s="4" t="s">
        <v>657</v>
      </c>
      <c r="D152" s="4" t="s">
        <v>267</v>
      </c>
      <c r="E152" s="4">
        <v>63106</v>
      </c>
      <c r="F152" s="6">
        <f>VLOOKUP(A152,'[1]Turn Out'!$B:$D,3,FALSE)</f>
        <v>0.83330000000000004</v>
      </c>
      <c r="G152" s="4" t="s">
        <v>10</v>
      </c>
      <c r="H152" s="4" t="s">
        <v>83</v>
      </c>
    </row>
    <row r="153" spans="1:8" x14ac:dyDescent="0.3">
      <c r="A153" s="4" t="s">
        <v>175</v>
      </c>
      <c r="B153" s="4">
        <v>152</v>
      </c>
      <c r="C153" s="4" t="s">
        <v>658</v>
      </c>
      <c r="D153" s="4" t="s">
        <v>269</v>
      </c>
      <c r="E153" s="4">
        <v>69351</v>
      </c>
      <c r="F153" s="6" t="e">
        <f>VLOOKUP(A153,'[1]Turn Out'!$B:$D,3,FALSE)</f>
        <v>#N/A</v>
      </c>
      <c r="G153" s="4" t="s">
        <v>8</v>
      </c>
      <c r="H153" s="4" t="s">
        <v>83</v>
      </c>
    </row>
    <row r="154" spans="1:8" x14ac:dyDescent="0.3">
      <c r="A154" s="4" t="s">
        <v>176</v>
      </c>
      <c r="B154" s="4">
        <v>153</v>
      </c>
      <c r="C154" s="4" t="s">
        <v>415</v>
      </c>
      <c r="D154" s="4" t="s">
        <v>272</v>
      </c>
      <c r="E154" s="4">
        <v>63731</v>
      </c>
      <c r="F154" s="6">
        <f>VLOOKUP(A154,'[1]Turn Out'!$B:$D,3,FALSE)</f>
        <v>0.87190000000000001</v>
      </c>
      <c r="G154" s="4" t="s">
        <v>8</v>
      </c>
      <c r="H154" s="4" t="s">
        <v>83</v>
      </c>
    </row>
    <row r="155" spans="1:8" x14ac:dyDescent="0.3">
      <c r="A155" s="4" t="s">
        <v>177</v>
      </c>
      <c r="B155" s="4">
        <v>154</v>
      </c>
      <c r="C155" s="4" t="s">
        <v>659</v>
      </c>
      <c r="D155" s="4" t="s">
        <v>272</v>
      </c>
      <c r="E155" s="4">
        <v>78398</v>
      </c>
      <c r="F155" s="6">
        <f>VLOOKUP(A155,'[1]Turn Out'!$B:$D,3,FALSE)</f>
        <v>0.8609</v>
      </c>
      <c r="G155" s="4" t="s">
        <v>8</v>
      </c>
      <c r="H155" s="4" t="s">
        <v>83</v>
      </c>
    </row>
    <row r="156" spans="1:8" x14ac:dyDescent="0.3">
      <c r="A156" s="4" t="s">
        <v>174</v>
      </c>
      <c r="B156" s="4">
        <v>155</v>
      </c>
      <c r="C156" s="4" t="s">
        <v>660</v>
      </c>
      <c r="D156" s="4" t="s">
        <v>520</v>
      </c>
      <c r="E156" s="4">
        <v>70856</v>
      </c>
      <c r="F156" s="6">
        <f>VLOOKUP(A156,'[1]Turn Out'!$B:$D,3,FALSE)</f>
        <v>0.83879999999999999</v>
      </c>
      <c r="G156" s="4" t="s">
        <v>8</v>
      </c>
      <c r="H156" s="4" t="s">
        <v>83</v>
      </c>
    </row>
    <row r="157" spans="1:8" x14ac:dyDescent="0.3">
      <c r="A157" s="4" t="s">
        <v>178</v>
      </c>
      <c r="B157" s="4">
        <v>156</v>
      </c>
      <c r="C157" s="4" t="s">
        <v>440</v>
      </c>
      <c r="D157" s="4" t="s">
        <v>267</v>
      </c>
      <c r="E157" s="4">
        <v>76695</v>
      </c>
      <c r="F157" s="6">
        <f>VLOOKUP(A157,'[1]Turn Out'!$B:$D,3,FALSE)</f>
        <v>0.88929999999999998</v>
      </c>
      <c r="G157" s="4" t="s">
        <v>8</v>
      </c>
      <c r="H157" s="4" t="s">
        <v>83</v>
      </c>
    </row>
    <row r="158" spans="1:8" x14ac:dyDescent="0.3">
      <c r="A158" s="4" t="s">
        <v>179</v>
      </c>
      <c r="B158" s="4">
        <v>157</v>
      </c>
      <c r="C158" s="4" t="s">
        <v>661</v>
      </c>
      <c r="D158" s="4" t="s">
        <v>272</v>
      </c>
      <c r="E158" s="4">
        <v>75707</v>
      </c>
      <c r="F158" s="6">
        <f>VLOOKUP(A158,'[1]Turn Out'!$B:$D,3,FALSE)</f>
        <v>0.879</v>
      </c>
      <c r="G158" s="4" t="s">
        <v>8</v>
      </c>
      <c r="H158" s="4" t="s">
        <v>83</v>
      </c>
    </row>
    <row r="159" spans="1:8" x14ac:dyDescent="0.3">
      <c r="A159" s="4" t="s">
        <v>180</v>
      </c>
      <c r="B159" s="4">
        <v>158</v>
      </c>
      <c r="C159" s="4" t="s">
        <v>662</v>
      </c>
      <c r="D159" s="4" t="s">
        <v>267</v>
      </c>
      <c r="E159" s="4">
        <v>69739</v>
      </c>
      <c r="F159" s="6">
        <f>VLOOKUP(A159,'[1]Turn Out'!$B:$D,3,FALSE)</f>
        <v>0.83809999999999996</v>
      </c>
      <c r="G159" s="4" t="s">
        <v>8</v>
      </c>
      <c r="H159" s="4" t="s">
        <v>83</v>
      </c>
    </row>
    <row r="160" spans="1:8" x14ac:dyDescent="0.3">
      <c r="A160" s="4" t="s">
        <v>181</v>
      </c>
      <c r="B160" s="4">
        <v>159</v>
      </c>
      <c r="C160" s="4" t="s">
        <v>663</v>
      </c>
      <c r="D160" s="4" t="s">
        <v>311</v>
      </c>
      <c r="E160" s="4">
        <v>85179</v>
      </c>
      <c r="F160" s="6">
        <f>VLOOKUP(A160,'[1]Turn Out'!$B:$D,3,FALSE)</f>
        <v>0.82110000000000005</v>
      </c>
      <c r="G160" s="4" t="s">
        <v>10</v>
      </c>
      <c r="H160" s="4" t="s">
        <v>83</v>
      </c>
    </row>
    <row r="161" spans="1:8" x14ac:dyDescent="0.3">
      <c r="A161" s="4" t="s">
        <v>182</v>
      </c>
      <c r="B161" s="4">
        <v>160</v>
      </c>
      <c r="C161" s="4" t="s">
        <v>664</v>
      </c>
      <c r="D161" s="4" t="s">
        <v>267</v>
      </c>
      <c r="E161" s="4">
        <v>71449</v>
      </c>
      <c r="F161" s="6" t="e">
        <f>VLOOKUP(A161,'[1]Turn Out'!$B:$D,3,FALSE)</f>
        <v>#N/A</v>
      </c>
      <c r="G161" s="4" t="s">
        <v>10</v>
      </c>
      <c r="H161" s="4" t="s">
        <v>160</v>
      </c>
    </row>
    <row r="162" spans="1:8" x14ac:dyDescent="0.3">
      <c r="A162" s="4" t="s">
        <v>184</v>
      </c>
      <c r="B162" s="4">
        <v>161</v>
      </c>
      <c r="C162" s="4" t="s">
        <v>665</v>
      </c>
      <c r="D162" s="4" t="s">
        <v>271</v>
      </c>
      <c r="E162" s="4">
        <v>68011</v>
      </c>
      <c r="F162" s="6" t="e">
        <f>VLOOKUP(A162,'[1]Turn Out'!$B:$D,3,FALSE)</f>
        <v>#N/A</v>
      </c>
      <c r="G162" s="4" t="s">
        <v>8</v>
      </c>
      <c r="H162" s="4" t="s">
        <v>160</v>
      </c>
    </row>
    <row r="163" spans="1:8" x14ac:dyDescent="0.3">
      <c r="A163" s="4" t="s">
        <v>185</v>
      </c>
      <c r="B163" s="4">
        <v>162</v>
      </c>
      <c r="C163" s="4" t="s">
        <v>666</v>
      </c>
      <c r="D163" s="4" t="s">
        <v>267</v>
      </c>
      <c r="E163" s="4">
        <v>81096</v>
      </c>
      <c r="F163" s="6">
        <f>VLOOKUP(A163,'[1]Turn Out'!$B:$D,3,FALSE)</f>
        <v>0.84089999999999998</v>
      </c>
      <c r="G163" s="4" t="s">
        <v>8</v>
      </c>
      <c r="H163" s="4" t="s">
        <v>160</v>
      </c>
    </row>
    <row r="164" spans="1:8" x14ac:dyDescent="0.3">
      <c r="A164" s="4" t="s">
        <v>183</v>
      </c>
      <c r="B164" s="4">
        <v>163</v>
      </c>
      <c r="C164" s="4" t="s">
        <v>667</v>
      </c>
      <c r="D164" s="4" t="s">
        <v>267</v>
      </c>
      <c r="E164" s="4">
        <v>56305</v>
      </c>
      <c r="F164" s="6">
        <f>VLOOKUP(A164,'[1]Turn Out'!$B:$D,3,FALSE)</f>
        <v>0.85870000000000002</v>
      </c>
      <c r="G164" s="4" t="s">
        <v>8</v>
      </c>
      <c r="H164" s="4" t="s">
        <v>160</v>
      </c>
    </row>
    <row r="165" spans="1:8" x14ac:dyDescent="0.3">
      <c r="A165" s="4" t="s">
        <v>186</v>
      </c>
      <c r="B165" s="4">
        <v>164</v>
      </c>
      <c r="C165" s="4" t="s">
        <v>668</v>
      </c>
      <c r="D165" s="4" t="s">
        <v>341</v>
      </c>
      <c r="E165" s="4">
        <v>56108</v>
      </c>
      <c r="F165" s="6">
        <f>VLOOKUP(A165,'[1]Turn Out'!$B:$D,3,FALSE)</f>
        <v>0.87980000000000003</v>
      </c>
      <c r="G165" s="4" t="s">
        <v>10</v>
      </c>
      <c r="H165" s="4" t="s">
        <v>160</v>
      </c>
    </row>
    <row r="166" spans="1:8" x14ac:dyDescent="0.3">
      <c r="A166" s="4" t="s">
        <v>187</v>
      </c>
      <c r="B166" s="4">
        <v>165</v>
      </c>
      <c r="C166" s="4" t="s">
        <v>669</v>
      </c>
      <c r="D166" s="4" t="s">
        <v>272</v>
      </c>
      <c r="E166" s="4">
        <v>59172</v>
      </c>
      <c r="F166" s="6">
        <f>VLOOKUP(A166,'[1]Turn Out'!$B:$D,3,FALSE)</f>
        <v>0.8518</v>
      </c>
      <c r="G166" s="4" t="s">
        <v>8</v>
      </c>
      <c r="H166" s="4" t="s">
        <v>160</v>
      </c>
    </row>
    <row r="167" spans="1:8" x14ac:dyDescent="0.3">
      <c r="A167" s="4" t="s">
        <v>188</v>
      </c>
      <c r="B167" s="4">
        <v>166</v>
      </c>
      <c r="C167" s="4" t="s">
        <v>670</v>
      </c>
      <c r="D167" s="4" t="s">
        <v>335</v>
      </c>
      <c r="E167" s="4">
        <v>74062</v>
      </c>
      <c r="F167" s="6" t="e">
        <f>VLOOKUP(A167,'[1]Turn Out'!$B:$D,3,FALSE)</f>
        <v>#N/A</v>
      </c>
      <c r="G167" s="4" t="s">
        <v>10</v>
      </c>
      <c r="H167" s="4" t="s">
        <v>160</v>
      </c>
    </row>
    <row r="168" spans="1:8" x14ac:dyDescent="0.3">
      <c r="A168" s="4" t="s">
        <v>190</v>
      </c>
      <c r="B168" s="4">
        <v>167</v>
      </c>
      <c r="C168" s="4" t="s">
        <v>671</v>
      </c>
      <c r="D168" s="4" t="s">
        <v>273</v>
      </c>
      <c r="E168" s="4">
        <v>68416</v>
      </c>
      <c r="F168" s="6">
        <f>VLOOKUP(A168,'[1]Turn Out'!$B:$D,3,FALSE)</f>
        <v>0.82140000000000002</v>
      </c>
      <c r="G168" s="4" t="s">
        <v>8</v>
      </c>
      <c r="H168" s="4" t="s">
        <v>160</v>
      </c>
    </row>
    <row r="169" spans="1:8" x14ac:dyDescent="0.3">
      <c r="A169" s="4" t="s">
        <v>191</v>
      </c>
      <c r="B169" s="4">
        <v>168</v>
      </c>
      <c r="C169" s="4" t="s">
        <v>672</v>
      </c>
      <c r="D169" s="4" t="s">
        <v>267</v>
      </c>
      <c r="E169" s="4">
        <v>93408</v>
      </c>
      <c r="F169" s="6">
        <f>VLOOKUP(A169,'[1]Turn Out'!$B:$D,3,FALSE)</f>
        <v>0.83069999999999999</v>
      </c>
      <c r="G169" s="4" t="s">
        <v>8</v>
      </c>
      <c r="H169" s="4" t="s">
        <v>160</v>
      </c>
    </row>
    <row r="170" spans="1:8" x14ac:dyDescent="0.3">
      <c r="A170" s="4" t="s">
        <v>192</v>
      </c>
      <c r="B170" s="4">
        <v>169</v>
      </c>
      <c r="C170" s="4" t="s">
        <v>673</v>
      </c>
      <c r="D170" s="4" t="s">
        <v>272</v>
      </c>
      <c r="E170" s="4">
        <v>103462</v>
      </c>
      <c r="F170" s="6">
        <f>VLOOKUP(A170,'[1]Turn Out'!$B:$D,3,FALSE)</f>
        <v>0.85919999999999996</v>
      </c>
      <c r="G170" s="4" t="s">
        <v>8</v>
      </c>
      <c r="H170" s="4" t="s">
        <v>160</v>
      </c>
    </row>
    <row r="171" spans="1:8" x14ac:dyDescent="0.3">
      <c r="A171" s="4" t="s">
        <v>193</v>
      </c>
      <c r="B171" s="4">
        <v>170</v>
      </c>
      <c r="C171" s="4" t="s">
        <v>674</v>
      </c>
      <c r="D171" s="4" t="s">
        <v>267</v>
      </c>
      <c r="E171" s="4">
        <v>79951</v>
      </c>
      <c r="F171" s="6" t="e">
        <f>VLOOKUP(A171,'[1]Turn Out'!$B:$D,3,FALSE)</f>
        <v>#N/A</v>
      </c>
      <c r="G171" s="4" t="s">
        <v>10</v>
      </c>
      <c r="H171" s="4" t="s">
        <v>160</v>
      </c>
    </row>
    <row r="172" spans="1:8" x14ac:dyDescent="0.3">
      <c r="A172" s="4" t="s">
        <v>195</v>
      </c>
      <c r="B172" s="4">
        <v>171</v>
      </c>
      <c r="C172" s="4" t="s">
        <v>306</v>
      </c>
      <c r="D172" s="4" t="s">
        <v>520</v>
      </c>
      <c r="E172" s="4">
        <v>78650</v>
      </c>
      <c r="F172" s="6">
        <f>VLOOKUP(A172,'[1]Turn Out'!$B:$D,3,FALSE)</f>
        <v>0.81040000000000001</v>
      </c>
      <c r="G172" s="4" t="s">
        <v>8</v>
      </c>
      <c r="H172" s="4" t="s">
        <v>160</v>
      </c>
    </row>
    <row r="173" spans="1:8" x14ac:dyDescent="0.3">
      <c r="A173" s="4" t="s">
        <v>196</v>
      </c>
      <c r="B173" s="4">
        <v>172</v>
      </c>
      <c r="C173" s="4" t="s">
        <v>675</v>
      </c>
      <c r="D173" s="4" t="s">
        <v>326</v>
      </c>
      <c r="E173" s="4">
        <v>69284</v>
      </c>
      <c r="F173" s="6">
        <f>VLOOKUP(A173,'[1]Turn Out'!$B:$D,3,FALSE)</f>
        <v>0.8034</v>
      </c>
      <c r="G173" s="4" t="s">
        <v>8</v>
      </c>
      <c r="H173" s="4" t="s">
        <v>160</v>
      </c>
    </row>
    <row r="174" spans="1:8" x14ac:dyDescent="0.3">
      <c r="A174" s="4" t="s">
        <v>197</v>
      </c>
      <c r="B174" s="4">
        <v>173</v>
      </c>
      <c r="C174" s="4" t="s">
        <v>676</v>
      </c>
      <c r="D174" s="4" t="s">
        <v>267</v>
      </c>
      <c r="E174" s="4">
        <v>80425</v>
      </c>
      <c r="F174" s="6">
        <f>VLOOKUP(A174,'[1]Turn Out'!$B:$D,3,FALSE)</f>
        <v>0.85189999999999999</v>
      </c>
      <c r="G174" s="4" t="s">
        <v>8</v>
      </c>
      <c r="H174" s="4" t="s">
        <v>160</v>
      </c>
    </row>
    <row r="175" spans="1:8" x14ac:dyDescent="0.3">
      <c r="A175" s="4" t="s">
        <v>194</v>
      </c>
      <c r="B175" s="4">
        <v>174</v>
      </c>
      <c r="C175" s="4" t="s">
        <v>677</v>
      </c>
      <c r="D175" s="4" t="s">
        <v>520</v>
      </c>
      <c r="E175" s="4">
        <v>87705</v>
      </c>
      <c r="F175" s="6">
        <f>VLOOKUP(A175,'[1]Turn Out'!$B:$D,3,FALSE)</f>
        <v>0.77470000000000006</v>
      </c>
      <c r="G175" s="4" t="s">
        <v>8</v>
      </c>
      <c r="H175" s="4" t="s">
        <v>160</v>
      </c>
    </row>
    <row r="176" spans="1:8" x14ac:dyDescent="0.3">
      <c r="A176" s="4" t="s">
        <v>198</v>
      </c>
      <c r="B176" s="4">
        <v>175</v>
      </c>
      <c r="C176" s="4" t="s">
        <v>678</v>
      </c>
      <c r="D176" s="4" t="s">
        <v>267</v>
      </c>
      <c r="E176" s="4">
        <v>86759</v>
      </c>
      <c r="F176" s="6" t="e">
        <f>VLOOKUP(A176,'[1]Turn Out'!$B:$D,3,FALSE)</f>
        <v>#N/A</v>
      </c>
      <c r="G176" s="4" t="s">
        <v>8</v>
      </c>
      <c r="H176" s="4" t="s">
        <v>160</v>
      </c>
    </row>
    <row r="177" spans="1:8" x14ac:dyDescent="0.3">
      <c r="A177" s="4" t="s">
        <v>199</v>
      </c>
      <c r="B177" s="4">
        <v>176</v>
      </c>
      <c r="C177" s="4" t="s">
        <v>679</v>
      </c>
      <c r="D177" s="4" t="s">
        <v>267</v>
      </c>
      <c r="E177" s="4">
        <v>65963</v>
      </c>
      <c r="F177" s="6">
        <f>VLOOKUP(A177,'[1]Turn Out'!$B:$D,3,FALSE)</f>
        <v>0.75419999999999998</v>
      </c>
      <c r="G177" s="4" t="s">
        <v>8</v>
      </c>
      <c r="H177" s="4" t="s">
        <v>160</v>
      </c>
    </row>
    <row r="178" spans="1:8" x14ac:dyDescent="0.3">
      <c r="A178" s="4" t="s">
        <v>200</v>
      </c>
      <c r="B178" s="4">
        <v>177</v>
      </c>
      <c r="C178" s="4" t="s">
        <v>680</v>
      </c>
      <c r="D178" s="4" t="s">
        <v>267</v>
      </c>
      <c r="E178" s="4">
        <v>60919</v>
      </c>
      <c r="F178" s="6">
        <f>VLOOKUP(A178,'[1]Turn Out'!$B:$D,3,FALSE)</f>
        <v>0.81889999999999996</v>
      </c>
      <c r="G178" s="4" t="s">
        <v>8</v>
      </c>
      <c r="H178" s="4" t="s">
        <v>160</v>
      </c>
    </row>
    <row r="179" spans="1:8" x14ac:dyDescent="0.3">
      <c r="A179" s="4" t="s">
        <v>201</v>
      </c>
      <c r="B179" s="4">
        <v>178</v>
      </c>
      <c r="C179" s="4" t="s">
        <v>681</v>
      </c>
      <c r="D179" s="4" t="s">
        <v>520</v>
      </c>
      <c r="E179" s="4">
        <v>58795</v>
      </c>
      <c r="F179" s="6" t="e">
        <f>VLOOKUP(A179,'[1]Turn Out'!$B:$D,3,FALSE)</f>
        <v>#N/A</v>
      </c>
      <c r="G179" s="4" t="s">
        <v>10</v>
      </c>
      <c r="H179" s="4" t="s">
        <v>160</v>
      </c>
    </row>
    <row r="180" spans="1:8" x14ac:dyDescent="0.3">
      <c r="A180" s="4" t="s">
        <v>203</v>
      </c>
      <c r="B180" s="4">
        <v>179</v>
      </c>
      <c r="C180" s="4" t="s">
        <v>682</v>
      </c>
      <c r="D180" s="4" t="s">
        <v>272</v>
      </c>
      <c r="E180" s="4">
        <v>105773</v>
      </c>
      <c r="F180" s="6">
        <f>VLOOKUP(A180,'[1]Turn Out'!$B:$D,3,FALSE)</f>
        <v>0.89800000000000002</v>
      </c>
      <c r="G180" s="4" t="s">
        <v>8</v>
      </c>
      <c r="H180" s="4" t="s">
        <v>160</v>
      </c>
    </row>
    <row r="181" spans="1:8" x14ac:dyDescent="0.3">
      <c r="A181" s="4" t="s">
        <v>202</v>
      </c>
      <c r="B181" s="4">
        <v>180</v>
      </c>
      <c r="C181" s="4" t="s">
        <v>683</v>
      </c>
      <c r="D181" s="4" t="s">
        <v>267</v>
      </c>
      <c r="E181" s="4">
        <v>66825</v>
      </c>
      <c r="F181" s="6">
        <f>VLOOKUP(A181,'[1]Turn Out'!$B:$D,3,FALSE)</f>
        <v>0.83260000000000001</v>
      </c>
      <c r="G181" s="4" t="s">
        <v>8</v>
      </c>
      <c r="H181" s="4" t="s">
        <v>160</v>
      </c>
    </row>
    <row r="182" spans="1:8" x14ac:dyDescent="0.3">
      <c r="A182" s="4" t="s">
        <v>204</v>
      </c>
      <c r="B182" s="4">
        <v>181</v>
      </c>
      <c r="C182" s="4" t="s">
        <v>684</v>
      </c>
      <c r="D182" s="4" t="s">
        <v>267</v>
      </c>
      <c r="E182" s="4">
        <v>58201</v>
      </c>
      <c r="F182" s="6">
        <f>VLOOKUP(A182,'[1]Turn Out'!$B:$D,3,FALSE)</f>
        <v>0.82069999999999999</v>
      </c>
      <c r="G182" s="4" t="s">
        <v>8</v>
      </c>
      <c r="H182" s="4" t="s">
        <v>160</v>
      </c>
    </row>
    <row r="183" spans="1:8" x14ac:dyDescent="0.3">
      <c r="A183" s="4" t="s">
        <v>205</v>
      </c>
      <c r="B183" s="4">
        <v>182</v>
      </c>
      <c r="C183" s="4" t="s">
        <v>466</v>
      </c>
      <c r="D183" s="4" t="s">
        <v>267</v>
      </c>
      <c r="E183" s="4">
        <v>64929</v>
      </c>
      <c r="F183" s="6">
        <f>VLOOKUP(A183,'[1]Turn Out'!$B:$D,3,FALSE)</f>
        <v>0.84589999999999999</v>
      </c>
      <c r="G183" s="4" t="s">
        <v>8</v>
      </c>
      <c r="H183" s="4" t="s">
        <v>160</v>
      </c>
    </row>
    <row r="184" spans="1:8" x14ac:dyDescent="0.3">
      <c r="A184" s="4" t="s">
        <v>206</v>
      </c>
      <c r="B184" s="4">
        <v>183</v>
      </c>
      <c r="C184" s="4" t="s">
        <v>685</v>
      </c>
      <c r="D184" s="4" t="s">
        <v>520</v>
      </c>
      <c r="E184" s="4">
        <v>73244</v>
      </c>
      <c r="F184" s="6" t="e">
        <f>VLOOKUP(A184,'[1]Turn Out'!$B:$D,3,FALSE)</f>
        <v>#N/A</v>
      </c>
      <c r="G184" s="4" t="s">
        <v>8</v>
      </c>
      <c r="H184" s="4" t="s">
        <v>160</v>
      </c>
    </row>
    <row r="185" spans="1:8" x14ac:dyDescent="0.3">
      <c r="A185" s="4" t="s">
        <v>207</v>
      </c>
      <c r="B185" s="4">
        <v>184</v>
      </c>
      <c r="C185" s="4" t="s">
        <v>686</v>
      </c>
      <c r="D185" s="4" t="s">
        <v>520</v>
      </c>
      <c r="E185" s="4">
        <v>101358</v>
      </c>
      <c r="F185" s="6">
        <f>VLOOKUP(A185,'[1]Turn Out'!$B:$D,3,FALSE)</f>
        <v>0.74329999999999996</v>
      </c>
      <c r="G185" s="4" t="s">
        <v>8</v>
      </c>
      <c r="H185" s="4" t="s">
        <v>148</v>
      </c>
    </row>
    <row r="186" spans="1:8" x14ac:dyDescent="0.3">
      <c r="A186" s="4" t="s">
        <v>208</v>
      </c>
      <c r="B186" s="4">
        <v>186</v>
      </c>
      <c r="C186" s="4" t="s">
        <v>687</v>
      </c>
      <c r="D186" s="4" t="s">
        <v>520</v>
      </c>
      <c r="E186" s="4">
        <v>73737</v>
      </c>
      <c r="F186" s="6">
        <f>VLOOKUP(A186,'[1]Turn Out'!$B:$D,3,FALSE)</f>
        <v>0.75990000000000002</v>
      </c>
      <c r="G186" s="4" t="s">
        <v>8</v>
      </c>
      <c r="H186" s="4" t="s">
        <v>148</v>
      </c>
    </row>
    <row r="187" spans="1:8" x14ac:dyDescent="0.3">
      <c r="A187" s="4" t="s">
        <v>209</v>
      </c>
      <c r="B187" s="4">
        <v>187</v>
      </c>
      <c r="C187" s="4" t="s">
        <v>688</v>
      </c>
      <c r="D187" s="4" t="s">
        <v>520</v>
      </c>
      <c r="E187" s="4">
        <v>69971</v>
      </c>
      <c r="F187" s="6">
        <f>VLOOKUP(A187,'[1]Turn Out'!$B:$D,3,FALSE)</f>
        <v>0.79290000000000005</v>
      </c>
      <c r="G187" s="4" t="s">
        <v>10</v>
      </c>
      <c r="H187" s="4" t="s">
        <v>148</v>
      </c>
    </row>
    <row r="188" spans="1:8" x14ac:dyDescent="0.3">
      <c r="A188" s="4" t="s">
        <v>210</v>
      </c>
      <c r="B188" s="4">
        <v>188</v>
      </c>
      <c r="C188" s="4" t="s">
        <v>689</v>
      </c>
      <c r="D188" s="4" t="s">
        <v>271</v>
      </c>
      <c r="E188" s="4">
        <v>60080</v>
      </c>
      <c r="F188" s="6">
        <f>VLOOKUP(A188,'[1]Turn Out'!$B:$D,3,FALSE)</f>
        <v>0.82220000000000004</v>
      </c>
      <c r="G188" s="4" t="s">
        <v>8</v>
      </c>
      <c r="H188" s="4" t="s">
        <v>148</v>
      </c>
    </row>
    <row r="189" spans="1:8" x14ac:dyDescent="0.3">
      <c r="A189" s="4" t="s">
        <v>212</v>
      </c>
      <c r="B189" s="4">
        <v>189</v>
      </c>
      <c r="C189" s="4" t="s">
        <v>378</v>
      </c>
      <c r="D189" s="4" t="s">
        <v>520</v>
      </c>
      <c r="E189" s="4">
        <v>118777</v>
      </c>
      <c r="F189" s="6">
        <f>VLOOKUP(A189,'[1]Turn Out'!$B:$D,3,FALSE)</f>
        <v>0.79900000000000004</v>
      </c>
      <c r="G189" s="4" t="s">
        <v>8</v>
      </c>
      <c r="H189" s="4" t="s">
        <v>148</v>
      </c>
    </row>
    <row r="190" spans="1:8" x14ac:dyDescent="0.3">
      <c r="A190" s="4" t="s">
        <v>213</v>
      </c>
      <c r="B190" s="4">
        <v>190</v>
      </c>
      <c r="C190" s="4" t="s">
        <v>690</v>
      </c>
      <c r="D190" s="4" t="s">
        <v>520</v>
      </c>
      <c r="E190" s="4">
        <v>63907</v>
      </c>
      <c r="F190" s="6">
        <f>VLOOKUP(A190,'[1]Turn Out'!$B:$D,3,FALSE)</f>
        <v>0.87229999999999996</v>
      </c>
      <c r="G190" s="4" t="s">
        <v>10</v>
      </c>
      <c r="H190" s="4" t="s">
        <v>148</v>
      </c>
    </row>
    <row r="191" spans="1:8" x14ac:dyDescent="0.3">
      <c r="A191" s="4" t="s">
        <v>214</v>
      </c>
      <c r="B191" s="4">
        <v>191</v>
      </c>
      <c r="C191" s="4" t="s">
        <v>691</v>
      </c>
      <c r="D191" s="4" t="s">
        <v>520</v>
      </c>
      <c r="E191" s="4">
        <v>72853</v>
      </c>
      <c r="F191" s="6">
        <f>VLOOKUP(A191,'[1]Turn Out'!$B:$D,3,FALSE)</f>
        <v>0.72629999999999995</v>
      </c>
      <c r="G191" s="4" t="s">
        <v>8</v>
      </c>
      <c r="H191" s="4" t="s">
        <v>148</v>
      </c>
    </row>
    <row r="192" spans="1:8" x14ac:dyDescent="0.3">
      <c r="A192" s="4" t="s">
        <v>215</v>
      </c>
      <c r="B192" s="4">
        <v>192</v>
      </c>
      <c r="C192" s="4" t="s">
        <v>692</v>
      </c>
      <c r="D192" s="4" t="s">
        <v>520</v>
      </c>
      <c r="E192" s="4">
        <v>62415</v>
      </c>
      <c r="F192" s="6">
        <f>VLOOKUP(A192,'[1]Turn Out'!$B:$D,3,FALSE)</f>
        <v>0.78190000000000004</v>
      </c>
      <c r="G192" s="4" t="s">
        <v>8</v>
      </c>
      <c r="H192" s="4" t="s">
        <v>148</v>
      </c>
    </row>
    <row r="193" spans="1:8" x14ac:dyDescent="0.3">
      <c r="A193" s="4" t="s">
        <v>216</v>
      </c>
      <c r="B193" s="4">
        <v>193</v>
      </c>
      <c r="C193" s="4" t="s">
        <v>693</v>
      </c>
      <c r="D193" s="4" t="s">
        <v>520</v>
      </c>
      <c r="E193" s="4">
        <v>63414</v>
      </c>
      <c r="F193" s="6">
        <f>VLOOKUP(A193,'[1]Turn Out'!$B:$D,3,FALSE)</f>
        <v>0.73880000000000001</v>
      </c>
      <c r="G193" s="4" t="s">
        <v>8</v>
      </c>
      <c r="H193" s="4" t="s">
        <v>148</v>
      </c>
    </row>
    <row r="194" spans="1:8" x14ac:dyDescent="0.3">
      <c r="A194" s="4" t="s">
        <v>217</v>
      </c>
      <c r="B194" s="4">
        <v>194</v>
      </c>
      <c r="C194" s="4" t="s">
        <v>694</v>
      </c>
      <c r="D194" s="4" t="s">
        <v>520</v>
      </c>
      <c r="E194" s="4">
        <v>88250</v>
      </c>
      <c r="F194" s="6">
        <f>VLOOKUP(A194,'[1]Turn Out'!$B:$D,3,FALSE)</f>
        <v>0.77769999999999995</v>
      </c>
      <c r="G194" s="4" t="s">
        <v>8</v>
      </c>
      <c r="H194" s="4" t="s">
        <v>148</v>
      </c>
    </row>
    <row r="195" spans="1:8" x14ac:dyDescent="0.3">
      <c r="A195" s="4" t="s">
        <v>218</v>
      </c>
      <c r="B195" s="4">
        <v>195</v>
      </c>
      <c r="C195" s="4" t="s">
        <v>695</v>
      </c>
      <c r="D195" s="4" t="s">
        <v>520</v>
      </c>
      <c r="E195" s="4">
        <v>114316</v>
      </c>
      <c r="F195" s="6">
        <f>VLOOKUP(A195,'[1]Turn Out'!$B:$D,3,FALSE)</f>
        <v>0.81410000000000005</v>
      </c>
      <c r="G195" s="4" t="s">
        <v>8</v>
      </c>
      <c r="H195" s="4" t="s">
        <v>148</v>
      </c>
    </row>
    <row r="196" spans="1:8" x14ac:dyDescent="0.3">
      <c r="A196" s="4" t="s">
        <v>219</v>
      </c>
      <c r="B196" s="4">
        <v>196</v>
      </c>
      <c r="C196" s="4" t="s">
        <v>696</v>
      </c>
      <c r="D196" s="4" t="s">
        <v>267</v>
      </c>
      <c r="E196" s="4">
        <v>88291</v>
      </c>
      <c r="F196" s="6">
        <f>VLOOKUP(A196,'[1]Turn Out'!$B:$D,3,FALSE)</f>
        <v>0.87029999999999996</v>
      </c>
      <c r="G196" s="4" t="s">
        <v>8</v>
      </c>
      <c r="H196" s="4" t="s">
        <v>148</v>
      </c>
    </row>
    <row r="197" spans="1:8" x14ac:dyDescent="0.3">
      <c r="A197" s="4" t="s">
        <v>220</v>
      </c>
      <c r="B197" s="4">
        <v>197</v>
      </c>
      <c r="C197" s="4" t="s">
        <v>697</v>
      </c>
      <c r="D197" s="4" t="s">
        <v>520</v>
      </c>
      <c r="E197" s="4">
        <v>65743</v>
      </c>
      <c r="F197" s="6">
        <f>VLOOKUP(A197,'[1]Turn Out'!$B:$D,3,FALSE)</f>
        <v>0.82950000000000002</v>
      </c>
      <c r="G197" s="4" t="s">
        <v>8</v>
      </c>
      <c r="H197" s="4" t="s">
        <v>148</v>
      </c>
    </row>
    <row r="198" spans="1:8" x14ac:dyDescent="0.3">
      <c r="A198" s="4" t="s">
        <v>221</v>
      </c>
      <c r="B198" s="4">
        <v>198</v>
      </c>
      <c r="C198" s="4" t="s">
        <v>698</v>
      </c>
      <c r="D198" s="4" t="s">
        <v>267</v>
      </c>
      <c r="E198" s="4">
        <v>74324</v>
      </c>
      <c r="F198" s="6">
        <f>VLOOKUP(A198,'[1]Turn Out'!$B:$D,3,FALSE)</f>
        <v>0.83679999999999999</v>
      </c>
      <c r="G198" s="4" t="s">
        <v>8</v>
      </c>
      <c r="H198" s="4" t="s">
        <v>148</v>
      </c>
    </row>
    <row r="199" spans="1:8" x14ac:dyDescent="0.3">
      <c r="A199" s="4" t="s">
        <v>223</v>
      </c>
      <c r="B199" s="4">
        <v>199</v>
      </c>
      <c r="C199" s="4" t="s">
        <v>699</v>
      </c>
      <c r="D199" s="4" t="s">
        <v>520</v>
      </c>
      <c r="E199" s="4">
        <v>85656</v>
      </c>
      <c r="F199" s="6">
        <f>VLOOKUP(A199,'[1]Turn Out'!$B:$D,3,FALSE)</f>
        <v>0.78510000000000002</v>
      </c>
      <c r="G199" s="4" t="s">
        <v>10</v>
      </c>
      <c r="H199" s="4" t="s">
        <v>148</v>
      </c>
    </row>
    <row r="200" spans="1:8" x14ac:dyDescent="0.3">
      <c r="A200" s="4" t="s">
        <v>224</v>
      </c>
      <c r="B200" s="4">
        <v>200</v>
      </c>
      <c r="C200" s="4" t="s">
        <v>700</v>
      </c>
      <c r="D200" s="4" t="s">
        <v>267</v>
      </c>
      <c r="E200" s="4">
        <v>85206</v>
      </c>
      <c r="F200" s="6">
        <f>VLOOKUP(A200,'[1]Turn Out'!$B:$D,3,FALSE)</f>
        <v>0.82869999999999999</v>
      </c>
      <c r="G200" s="4" t="s">
        <v>8</v>
      </c>
      <c r="H200" s="4" t="s">
        <v>148</v>
      </c>
    </row>
    <row r="201" spans="1:8" x14ac:dyDescent="0.3">
      <c r="A201" s="4" t="s">
        <v>225</v>
      </c>
      <c r="B201" s="4">
        <v>201</v>
      </c>
      <c r="C201" s="4" t="s">
        <v>701</v>
      </c>
      <c r="D201" s="4" t="s">
        <v>520</v>
      </c>
      <c r="E201" s="4">
        <v>85394</v>
      </c>
      <c r="F201" s="6">
        <f>VLOOKUP(A201,'[1]Turn Out'!$B:$D,3,FALSE)</f>
        <v>0.81230000000000002</v>
      </c>
      <c r="G201" s="4" t="s">
        <v>8</v>
      </c>
      <c r="H201" s="4" t="s">
        <v>148</v>
      </c>
    </row>
    <row r="202" spans="1:8" x14ac:dyDescent="0.3">
      <c r="A202" s="4" t="s">
        <v>226</v>
      </c>
      <c r="B202" s="4">
        <v>202</v>
      </c>
      <c r="C202" s="4" t="s">
        <v>702</v>
      </c>
      <c r="D202" s="4" t="s">
        <v>520</v>
      </c>
      <c r="E202" s="4">
        <v>65548</v>
      </c>
      <c r="F202" s="6">
        <f>VLOOKUP(A202,'[1]Turn Out'!$B:$D,3,FALSE)</f>
        <v>0.84350000000000003</v>
      </c>
      <c r="G202" s="4" t="s">
        <v>8</v>
      </c>
      <c r="H202" s="4" t="s">
        <v>148</v>
      </c>
    </row>
    <row r="203" spans="1:8" x14ac:dyDescent="0.3">
      <c r="A203" s="4" t="s">
        <v>228</v>
      </c>
      <c r="B203" s="4">
        <v>203</v>
      </c>
      <c r="C203" s="4" t="s">
        <v>704</v>
      </c>
      <c r="D203" s="4" t="s">
        <v>520</v>
      </c>
      <c r="E203" s="4">
        <v>65653</v>
      </c>
      <c r="F203" s="6">
        <f>VLOOKUP(A203,'[1]Turn Out'!$B:$D,3,FALSE)</f>
        <v>0.84970000000000001</v>
      </c>
      <c r="G203" s="4" t="s">
        <v>10</v>
      </c>
      <c r="H203" s="4" t="s">
        <v>148</v>
      </c>
    </row>
    <row r="204" spans="1:8" x14ac:dyDescent="0.3">
      <c r="A204" s="4" t="s">
        <v>229</v>
      </c>
      <c r="B204" s="4">
        <v>204</v>
      </c>
      <c r="C204" s="4" t="s">
        <v>705</v>
      </c>
      <c r="D204" s="4" t="s">
        <v>267</v>
      </c>
      <c r="E204" s="4">
        <v>62060</v>
      </c>
      <c r="F204" s="6">
        <f>VLOOKUP(A204,'[1]Turn Out'!$B:$D,3,FALSE)</f>
        <v>0.85629999999999995</v>
      </c>
      <c r="G204" s="4" t="s">
        <v>8</v>
      </c>
      <c r="H204" s="4" t="s">
        <v>148</v>
      </c>
    </row>
    <row r="205" spans="1:8" x14ac:dyDescent="0.3">
      <c r="A205" s="4" t="s">
        <v>230</v>
      </c>
      <c r="B205" s="4">
        <v>205</v>
      </c>
      <c r="C205" s="4" t="s">
        <v>706</v>
      </c>
      <c r="D205" s="4" t="s">
        <v>520</v>
      </c>
      <c r="E205" s="4">
        <v>68709</v>
      </c>
      <c r="F205" s="6">
        <f>VLOOKUP(A205,'[1]Turn Out'!$B:$D,3,FALSE)</f>
        <v>0.8407</v>
      </c>
      <c r="G205" s="4" t="s">
        <v>8</v>
      </c>
      <c r="H205" s="4" t="s">
        <v>148</v>
      </c>
    </row>
    <row r="206" spans="1:8" x14ac:dyDescent="0.3">
      <c r="A206" s="4" t="s">
        <v>227</v>
      </c>
      <c r="B206" s="4">
        <v>206</v>
      </c>
      <c r="C206" s="4" t="s">
        <v>707</v>
      </c>
      <c r="D206" s="4" t="s">
        <v>520</v>
      </c>
      <c r="E206" s="4">
        <v>63653</v>
      </c>
      <c r="F206" s="6">
        <f>VLOOKUP(A206,'[1]Turn Out'!$B:$D,3,FALSE)</f>
        <v>0.82740000000000002</v>
      </c>
      <c r="G206" s="4" t="s">
        <v>8</v>
      </c>
      <c r="H206" s="4" t="s">
        <v>148</v>
      </c>
    </row>
    <row r="207" spans="1:8" x14ac:dyDescent="0.3">
      <c r="A207" s="4" t="s">
        <v>231</v>
      </c>
      <c r="B207" s="4">
        <v>207</v>
      </c>
      <c r="C207" s="4" t="s">
        <v>708</v>
      </c>
      <c r="D207" s="4" t="s">
        <v>267</v>
      </c>
      <c r="E207" s="4">
        <v>65104</v>
      </c>
      <c r="F207" s="6" t="e">
        <f>VLOOKUP(A207,'[1]Turn Out'!$B:$D,3,FALSE)</f>
        <v>#N/A</v>
      </c>
      <c r="G207" s="4" t="s">
        <v>8</v>
      </c>
      <c r="H207" s="4" t="s">
        <v>148</v>
      </c>
    </row>
    <row r="208" spans="1:8" x14ac:dyDescent="0.3">
      <c r="A208" s="4" t="s">
        <v>232</v>
      </c>
      <c r="B208" s="4">
        <v>208</v>
      </c>
      <c r="C208" s="4" t="s">
        <v>492</v>
      </c>
      <c r="D208" s="4" t="s">
        <v>267</v>
      </c>
      <c r="E208" s="4">
        <v>75085</v>
      </c>
      <c r="F208" s="6">
        <f>VLOOKUP(A208,'[1]Turn Out'!$B:$D,3,FALSE)</f>
        <v>0.87229999999999996</v>
      </c>
      <c r="G208" s="4" t="s">
        <v>8</v>
      </c>
      <c r="H208" s="4" t="s">
        <v>148</v>
      </c>
    </row>
    <row r="209" spans="1:8" x14ac:dyDescent="0.3">
      <c r="A209" s="4" t="s">
        <v>233</v>
      </c>
      <c r="B209" s="4">
        <v>209</v>
      </c>
      <c r="C209" s="4" t="s">
        <v>709</v>
      </c>
      <c r="D209" s="4" t="s">
        <v>267</v>
      </c>
      <c r="E209" s="4">
        <v>59161</v>
      </c>
      <c r="F209" s="6">
        <f>VLOOKUP(A209,'[1]Turn Out'!$B:$D,3,FALSE)</f>
        <v>0.79610000000000003</v>
      </c>
      <c r="G209" s="4" t="s">
        <v>10</v>
      </c>
      <c r="H209" s="4" t="s">
        <v>148</v>
      </c>
    </row>
    <row r="210" spans="1:8" x14ac:dyDescent="0.3">
      <c r="A210" s="4" t="s">
        <v>235</v>
      </c>
      <c r="B210" s="4">
        <v>210</v>
      </c>
      <c r="C210" s="4" t="s">
        <v>710</v>
      </c>
      <c r="D210" s="4" t="s">
        <v>520</v>
      </c>
      <c r="E210" s="4">
        <v>69551</v>
      </c>
      <c r="F210" s="6">
        <f>VLOOKUP(A210,'[1]Turn Out'!$B:$D,3,FALSE)</f>
        <v>0.77080000000000004</v>
      </c>
      <c r="G210" s="4" t="s">
        <v>8</v>
      </c>
      <c r="H210" s="4" t="s">
        <v>148</v>
      </c>
    </row>
    <row r="211" spans="1:8" x14ac:dyDescent="0.3">
      <c r="A211" s="4" t="s">
        <v>234</v>
      </c>
      <c r="B211" s="4">
        <v>211</v>
      </c>
      <c r="C211" s="4" t="s">
        <v>495</v>
      </c>
      <c r="D211" s="4" t="s">
        <v>267</v>
      </c>
      <c r="E211" s="4">
        <v>89137</v>
      </c>
      <c r="F211" s="6">
        <f>VLOOKUP(A211,'[1]Turn Out'!$B:$D,3,FALSE)</f>
        <v>0.75370000000000004</v>
      </c>
      <c r="G211" s="4" t="s">
        <v>8</v>
      </c>
      <c r="H211" s="4" t="s">
        <v>148</v>
      </c>
    </row>
    <row r="212" spans="1:8" x14ac:dyDescent="0.3">
      <c r="A212" s="4" t="s">
        <v>236</v>
      </c>
      <c r="B212" s="4">
        <v>212</v>
      </c>
      <c r="C212" s="4" t="s">
        <v>496</v>
      </c>
      <c r="D212" s="4" t="s">
        <v>267</v>
      </c>
      <c r="E212" s="4">
        <v>68003</v>
      </c>
      <c r="F212" s="6" t="e">
        <f>VLOOKUP(A212,'[1]Turn Out'!$B:$D,3,FALSE)</f>
        <v>#N/A</v>
      </c>
      <c r="G212" s="4" t="s">
        <v>8</v>
      </c>
      <c r="H212" s="4" t="s">
        <v>148</v>
      </c>
    </row>
    <row r="213" spans="1:8" x14ac:dyDescent="0.3">
      <c r="A213" s="4" t="s">
        <v>237</v>
      </c>
      <c r="B213" s="4">
        <v>213</v>
      </c>
      <c r="C213" s="4" t="s">
        <v>711</v>
      </c>
      <c r="D213" s="4" t="s">
        <v>267</v>
      </c>
      <c r="E213" s="4">
        <v>58395</v>
      </c>
      <c r="F213" s="6">
        <f>VLOOKUP(A213,'[1]Turn Out'!$B:$D,3,FALSE)</f>
        <v>0.84160000000000001</v>
      </c>
      <c r="G213" s="4" t="s">
        <v>8</v>
      </c>
      <c r="H213" s="4" t="s">
        <v>148</v>
      </c>
    </row>
    <row r="214" spans="1:8" x14ac:dyDescent="0.3">
      <c r="A214" s="4" t="s">
        <v>239</v>
      </c>
      <c r="B214" s="4">
        <v>214</v>
      </c>
      <c r="C214" s="4" t="s">
        <v>568</v>
      </c>
      <c r="D214" s="4" t="s">
        <v>520</v>
      </c>
      <c r="E214" s="4">
        <v>100536</v>
      </c>
      <c r="F214" s="6">
        <f>VLOOKUP(A214,'[1]Turn Out'!$B:$D,3,FALSE)</f>
        <v>0.80920000000000003</v>
      </c>
      <c r="G214" s="4" t="s">
        <v>8</v>
      </c>
      <c r="H214" s="4" t="s">
        <v>148</v>
      </c>
    </row>
    <row r="215" spans="1:8" x14ac:dyDescent="0.3">
      <c r="A215" s="4" t="s">
        <v>240</v>
      </c>
      <c r="B215" s="4">
        <v>215</v>
      </c>
      <c r="C215" s="4" t="s">
        <v>712</v>
      </c>
      <c r="D215" s="4" t="s">
        <v>267</v>
      </c>
      <c r="E215" s="4">
        <v>72723</v>
      </c>
      <c r="F215" s="6">
        <f>VLOOKUP(A215,'[1]Turn Out'!$B:$D,3,FALSE)</f>
        <v>0.78890000000000005</v>
      </c>
      <c r="G215" s="4" t="s">
        <v>8</v>
      </c>
      <c r="H215" s="4" t="s">
        <v>148</v>
      </c>
    </row>
    <row r="216" spans="1:8" x14ac:dyDescent="0.3">
      <c r="A216" s="4" t="s">
        <v>241</v>
      </c>
      <c r="B216" s="4">
        <v>216</v>
      </c>
      <c r="C216" s="4" t="s">
        <v>703</v>
      </c>
      <c r="D216" s="4" t="s">
        <v>520</v>
      </c>
      <c r="E216" s="4">
        <v>58814</v>
      </c>
      <c r="F216" s="6">
        <f>VLOOKUP(A216,'[1]Turn Out'!$B:$D,3,FALSE)</f>
        <v>0.81040000000000001</v>
      </c>
      <c r="G216" s="4" t="s">
        <v>8</v>
      </c>
      <c r="H216" s="4" t="s">
        <v>148</v>
      </c>
    </row>
    <row r="217" spans="1:8" x14ac:dyDescent="0.3">
      <c r="A217" s="4" t="s">
        <v>242</v>
      </c>
      <c r="B217" s="4">
        <v>217</v>
      </c>
      <c r="C217" s="4" t="s">
        <v>713</v>
      </c>
      <c r="D217" s="4" t="s">
        <v>520</v>
      </c>
      <c r="E217" s="4">
        <v>81625</v>
      </c>
      <c r="F217" s="6">
        <f>VLOOKUP(A217,'[1]Turn Out'!$B:$D,3,FALSE)</f>
        <v>0.79390000000000005</v>
      </c>
      <c r="G217" s="4" t="s">
        <v>10</v>
      </c>
      <c r="H217" s="4" t="s">
        <v>148</v>
      </c>
    </row>
    <row r="218" spans="1:8" x14ac:dyDescent="0.3">
      <c r="A218" s="4" t="s">
        <v>243</v>
      </c>
      <c r="B218" s="4">
        <v>218</v>
      </c>
      <c r="C218" s="4" t="s">
        <v>714</v>
      </c>
      <c r="D218" s="4" t="s">
        <v>267</v>
      </c>
      <c r="E218" s="4">
        <v>61643</v>
      </c>
      <c r="F218" s="6">
        <f>VLOOKUP(A218,'[1]Turn Out'!$B:$D,3,FALSE)</f>
        <v>0.79339999999999999</v>
      </c>
      <c r="G218" s="4" t="s">
        <v>8</v>
      </c>
      <c r="H218" s="4" t="s">
        <v>148</v>
      </c>
    </row>
    <row r="219" spans="1:8" x14ac:dyDescent="0.3">
      <c r="A219" s="4" t="s">
        <v>244</v>
      </c>
      <c r="B219" s="4">
        <v>219</v>
      </c>
      <c r="C219" s="4" t="s">
        <v>715</v>
      </c>
      <c r="D219" s="4" t="s">
        <v>272</v>
      </c>
      <c r="E219" s="4">
        <v>64865</v>
      </c>
      <c r="F219" s="6">
        <f>VLOOKUP(A219,'[1]Turn Out'!$B:$D,3,FALSE)</f>
        <v>0.81040000000000001</v>
      </c>
      <c r="G219" s="4" t="s">
        <v>10</v>
      </c>
      <c r="H219" s="4" t="s">
        <v>148</v>
      </c>
    </row>
    <row r="220" spans="1:8" x14ac:dyDescent="0.3">
      <c r="A220" s="4" t="s">
        <v>246</v>
      </c>
      <c r="B220" s="4">
        <v>220</v>
      </c>
      <c r="C220" s="4" t="s">
        <v>716</v>
      </c>
      <c r="D220" s="4" t="s">
        <v>267</v>
      </c>
      <c r="E220" s="4">
        <v>63045</v>
      </c>
      <c r="F220" s="6">
        <f>VLOOKUP(A220,'[1]Turn Out'!$B:$D,3,FALSE)</f>
        <v>0.81520000000000004</v>
      </c>
      <c r="G220" s="4" t="s">
        <v>10</v>
      </c>
      <c r="H220" s="4" t="s">
        <v>148</v>
      </c>
    </row>
    <row r="221" spans="1:8" x14ac:dyDescent="0.3">
      <c r="A221" s="4" t="s">
        <v>247</v>
      </c>
      <c r="B221" s="4">
        <v>221</v>
      </c>
      <c r="C221" s="4" t="s">
        <v>717</v>
      </c>
      <c r="D221" s="4" t="s">
        <v>267</v>
      </c>
      <c r="E221" s="4">
        <v>79832</v>
      </c>
      <c r="F221" s="6">
        <f>VLOOKUP(A221,'[1]Turn Out'!$B:$D,3,FALSE)</f>
        <v>0.81379999999999997</v>
      </c>
      <c r="G221" s="4" t="s">
        <v>8</v>
      </c>
      <c r="H221" s="4" t="s">
        <v>148</v>
      </c>
    </row>
    <row r="222" spans="1:8" x14ac:dyDescent="0.3">
      <c r="A222" s="4" t="s">
        <v>248</v>
      </c>
      <c r="B222" s="4">
        <v>222</v>
      </c>
      <c r="C222" s="4" t="s">
        <v>718</v>
      </c>
      <c r="D222" s="4" t="s">
        <v>267</v>
      </c>
      <c r="E222" s="4">
        <v>79699</v>
      </c>
      <c r="F222" s="6">
        <f>VLOOKUP(A222,'[1]Turn Out'!$B:$D,3,FALSE)</f>
        <v>0.82440000000000002</v>
      </c>
      <c r="G222" s="4" t="s">
        <v>8</v>
      </c>
      <c r="H222" s="4" t="s">
        <v>148</v>
      </c>
    </row>
    <row r="223" spans="1:8" x14ac:dyDescent="0.3">
      <c r="A223" s="4" t="s">
        <v>249</v>
      </c>
      <c r="B223" s="4">
        <v>223</v>
      </c>
      <c r="C223" s="4" t="s">
        <v>507</v>
      </c>
      <c r="D223" s="4" t="s">
        <v>267</v>
      </c>
      <c r="E223" s="4">
        <v>69170</v>
      </c>
      <c r="F223" s="6">
        <f>VLOOKUP(A223,'[1]Turn Out'!$B:$D,3,FALSE)</f>
        <v>0.85529999999999995</v>
      </c>
      <c r="G223" s="4" t="s">
        <v>8</v>
      </c>
      <c r="H223" s="4" t="s">
        <v>148</v>
      </c>
    </row>
    <row r="224" spans="1:8" x14ac:dyDescent="0.3">
      <c r="A224" s="4" t="s">
        <v>245</v>
      </c>
      <c r="B224" s="4">
        <v>224</v>
      </c>
      <c r="C224" s="4" t="s">
        <v>719</v>
      </c>
      <c r="D224" s="4" t="s">
        <v>520</v>
      </c>
      <c r="E224" s="4">
        <v>75840</v>
      </c>
      <c r="F224" s="6">
        <f>VLOOKUP(A224,'[1]Turn Out'!$B:$D,3,FALSE)</f>
        <v>0.78210000000000002</v>
      </c>
      <c r="G224" s="4" t="s">
        <v>8</v>
      </c>
      <c r="H224" s="4" t="s">
        <v>148</v>
      </c>
    </row>
    <row r="225" spans="1:8" x14ac:dyDescent="0.3">
      <c r="A225" s="4" t="s">
        <v>250</v>
      </c>
      <c r="B225" s="4">
        <v>225</v>
      </c>
      <c r="C225" s="4" t="s">
        <v>720</v>
      </c>
      <c r="D225" s="4" t="s">
        <v>272</v>
      </c>
      <c r="E225" s="4">
        <v>65589</v>
      </c>
      <c r="F225" s="6">
        <f>VLOOKUP(A225,'[1]Turn Out'!$B:$D,3,FALSE)</f>
        <v>0.82889999999999997</v>
      </c>
      <c r="G225" s="4" t="s">
        <v>8</v>
      </c>
      <c r="H225" s="4" t="s">
        <v>148</v>
      </c>
    </row>
    <row r="226" spans="1:8" x14ac:dyDescent="0.3">
      <c r="A226" s="4" t="s">
        <v>251</v>
      </c>
      <c r="B226" s="4">
        <v>226</v>
      </c>
      <c r="C226" s="4" t="s">
        <v>721</v>
      </c>
      <c r="D226" s="4" t="s">
        <v>267</v>
      </c>
      <c r="E226" s="4">
        <v>79744</v>
      </c>
      <c r="F226" s="6" t="e">
        <f>VLOOKUP(A226,'[1]Turn Out'!$B:$D,3,FALSE)</f>
        <v>#N/A</v>
      </c>
      <c r="G226" s="4" t="s">
        <v>8</v>
      </c>
      <c r="H226" s="4" t="s">
        <v>148</v>
      </c>
    </row>
    <row r="227" spans="1:8" x14ac:dyDescent="0.3">
      <c r="A227" s="4" t="s">
        <v>252</v>
      </c>
      <c r="B227" s="4">
        <v>227</v>
      </c>
      <c r="C227" s="4" t="s">
        <v>722</v>
      </c>
      <c r="D227" s="4" t="s">
        <v>520</v>
      </c>
      <c r="E227" s="4">
        <v>74952</v>
      </c>
      <c r="F227" s="6">
        <f>VLOOKUP(A227,'[1]Turn Out'!$B:$D,3,FALSE)</f>
        <v>0.80220000000000002</v>
      </c>
      <c r="G227" s="4" t="s">
        <v>8</v>
      </c>
      <c r="H227" s="4" t="s">
        <v>148</v>
      </c>
    </row>
    <row r="228" spans="1:8" x14ac:dyDescent="0.3">
      <c r="A228" s="4" t="s">
        <v>253</v>
      </c>
      <c r="B228" s="4">
        <v>228</v>
      </c>
      <c r="C228" s="4" t="s">
        <v>723</v>
      </c>
      <c r="D228" s="4" t="s">
        <v>520</v>
      </c>
      <c r="E228" s="4">
        <v>69947</v>
      </c>
      <c r="F228" s="6">
        <f>VLOOKUP(A228,'[1]Turn Out'!$B:$D,3,FALSE)</f>
        <v>0.80030000000000001</v>
      </c>
      <c r="G228" s="4" t="s">
        <v>8</v>
      </c>
      <c r="H228" s="4" t="s">
        <v>148</v>
      </c>
    </row>
    <row r="229" spans="1:8" x14ac:dyDescent="0.3">
      <c r="A229" s="4" t="s">
        <v>254</v>
      </c>
      <c r="B229" s="4">
        <v>229</v>
      </c>
      <c r="C229" s="4" t="s">
        <v>724</v>
      </c>
      <c r="D229" s="4" t="s">
        <v>272</v>
      </c>
      <c r="E229" s="4">
        <v>75045</v>
      </c>
      <c r="F229" s="6">
        <f>VLOOKUP(A229,'[1]Turn Out'!$B:$D,3,FALSE)</f>
        <v>0.81430000000000002</v>
      </c>
      <c r="G229" s="4" t="s">
        <v>8</v>
      </c>
      <c r="H229" s="4" t="s">
        <v>148</v>
      </c>
    </row>
    <row r="230" spans="1:8" x14ac:dyDescent="0.3">
      <c r="A230" s="4" t="s">
        <v>255</v>
      </c>
      <c r="B230" s="4">
        <v>230</v>
      </c>
      <c r="C230" s="4" t="s">
        <v>725</v>
      </c>
      <c r="D230" s="4" t="s">
        <v>267</v>
      </c>
      <c r="E230" s="4">
        <v>69880</v>
      </c>
      <c r="F230" s="6">
        <f>VLOOKUP(A230,'[1]Turn Out'!$B:$D,3,FALSE)</f>
        <v>0.74719999999999998</v>
      </c>
      <c r="G230" s="4" t="s">
        <v>8</v>
      </c>
      <c r="H230" s="4" t="s">
        <v>148</v>
      </c>
    </row>
    <row r="231" spans="1:8" x14ac:dyDescent="0.3">
      <c r="A231" s="4" t="s">
        <v>256</v>
      </c>
      <c r="B231" s="4">
        <v>231</v>
      </c>
      <c r="C231" s="4" t="s">
        <v>726</v>
      </c>
      <c r="D231" s="4" t="s">
        <v>271</v>
      </c>
      <c r="E231" s="4">
        <v>66207</v>
      </c>
      <c r="F231" s="6" t="e">
        <f>VLOOKUP(A231,'[1]Turn Out'!$B:$D,3,FALSE)</f>
        <v>#N/A</v>
      </c>
      <c r="G231" s="4" t="s">
        <v>8</v>
      </c>
      <c r="H231" s="4" t="s">
        <v>148</v>
      </c>
    </row>
    <row r="232" spans="1:8" x14ac:dyDescent="0.3">
      <c r="A232" s="4" t="s">
        <v>257</v>
      </c>
      <c r="B232" s="4">
        <v>232</v>
      </c>
      <c r="C232" s="4" t="s">
        <v>727</v>
      </c>
      <c r="D232" s="4" t="s">
        <v>341</v>
      </c>
      <c r="E232" s="4">
        <v>68938</v>
      </c>
      <c r="F232" s="6">
        <f>VLOOKUP(A232,'[1]Turn Out'!$B:$D,3,FALSE)</f>
        <v>0.75460000000000005</v>
      </c>
      <c r="G232" s="4" t="s">
        <v>8</v>
      </c>
      <c r="H232" s="4" t="s">
        <v>148</v>
      </c>
    </row>
    <row r="233" spans="1:8" x14ac:dyDescent="0.3">
      <c r="A233" s="4" t="s">
        <v>258</v>
      </c>
      <c r="B233" s="4">
        <v>233</v>
      </c>
      <c r="C233" s="4" t="s">
        <v>728</v>
      </c>
      <c r="D233" s="4" t="s">
        <v>271</v>
      </c>
      <c r="E233" s="4">
        <v>70755</v>
      </c>
      <c r="F233" s="6">
        <f>VLOOKUP(A233,'[1]Turn Out'!$B:$D,3,FALSE)</f>
        <v>0.75770000000000004</v>
      </c>
      <c r="G233" s="4" t="s">
        <v>8</v>
      </c>
      <c r="H233" s="4" t="s">
        <v>148</v>
      </c>
    </row>
    <row r="234" spans="1:8" x14ac:dyDescent="0.3">
      <c r="A234" s="4" t="s">
        <v>259</v>
      </c>
      <c r="B234" s="4">
        <v>234</v>
      </c>
      <c r="C234" s="4" t="s">
        <v>285</v>
      </c>
      <c r="D234" s="4" t="s">
        <v>271</v>
      </c>
      <c r="E234" s="4">
        <v>66434</v>
      </c>
      <c r="F234" s="6">
        <f>VLOOKUP(A234,'[1]Turn Out'!$B:$D,3,FALSE)</f>
        <v>0.71289999999999998</v>
      </c>
      <c r="G234" s="4" t="s">
        <v>8</v>
      </c>
      <c r="H234" s="4" t="s">
        <v>148</v>
      </c>
    </row>
  </sheetData>
  <autoFilter ref="A1:H234" xr:uid="{85BE7B23-B48A-4F62-AF51-7B60DF7FE1C2}">
    <sortState xmlns:xlrd2="http://schemas.microsoft.com/office/spreadsheetml/2017/richdata2" ref="A2:H234">
      <sortCondition ref="B1:B234"/>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7BD38-94B1-41D3-BBFB-D5BB65AA44F9}">
  <dimension ref="A2:A4"/>
  <sheetViews>
    <sheetView showGridLines="0" zoomScale="88" zoomScaleNormal="88" workbookViewId="0">
      <selection activeCell="F3" sqref="F3"/>
    </sheetView>
  </sheetViews>
  <sheetFormatPr defaultRowHeight="14.4" x14ac:dyDescent="0.3"/>
  <cols>
    <col min="1" max="1" width="75.77734375" customWidth="1"/>
  </cols>
  <sheetData>
    <row r="2" spans="1:1" ht="55.2" x14ac:dyDescent="0.3">
      <c r="A2" s="3" t="s">
        <v>737</v>
      </c>
    </row>
    <row r="3" spans="1:1" ht="55.2" x14ac:dyDescent="0.3">
      <c r="A3" s="3" t="s">
        <v>738</v>
      </c>
    </row>
    <row r="4" spans="1:1" ht="41.4" x14ac:dyDescent="0.3">
      <c r="A4" s="3" t="s">
        <v>739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A6915-C199-4BEC-AE67-3AC0EEC55254}">
  <dimension ref="A1:A3"/>
  <sheetViews>
    <sheetView showGridLines="0" workbookViewId="0">
      <selection activeCell="U15" sqref="U15"/>
    </sheetView>
  </sheetViews>
  <sheetFormatPr defaultRowHeight="14.4" x14ac:dyDescent="0.3"/>
  <sheetData>
    <row r="1" customFormat="1" x14ac:dyDescent="0.3"/>
    <row r="2" customFormat="1" x14ac:dyDescent="0.3"/>
    <row r="3" customForma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constituency_master</vt:lpstr>
      <vt:lpstr>tn_2021_result</vt:lpstr>
      <vt:lpstr>tn_2026_result</vt:lpstr>
      <vt:lpstr>Question 1</vt:lpstr>
      <vt:lpstr>Charts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 Ramesh</dc:creator>
  <cp:lastModifiedBy>Priya Ramesh</cp:lastModifiedBy>
  <dcterms:created xsi:type="dcterms:W3CDTF">2026-05-20T17:26:13Z</dcterms:created>
  <dcterms:modified xsi:type="dcterms:W3CDTF">2026-05-27T04:55:36Z</dcterms:modified>
</cp:coreProperties>
</file>